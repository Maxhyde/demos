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k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semb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3" tint="-0.49998474074526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indexed="8"/>
      <sz val="12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right"/>
    </xf>
    <xf numFmtId="3" fontId="8" fillId="0" borderId="0" pivotButton="0" quotePrefix="0" xfId="0"/>
    <xf numFmtId="3" fontId="11" fillId="0" borderId="0" pivotButton="0" quotePrefix="0" xfId="0"/>
    <xf numFmtId="0" fontId="8" fillId="0" borderId="0" pivotButton="0" quotePrefix="0" xfId="0"/>
    <xf numFmtId="0" fontId="11" fillId="2" borderId="0" pivotButton="0" quotePrefix="0" xfId="0"/>
    <xf numFmtId="0" fontId="11" fillId="2" borderId="0" applyAlignment="1" pivotButton="0" quotePrefix="0" xfId="0">
      <alignment horizontal="right"/>
    </xf>
    <xf numFmtId="0" fontId="10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3" fontId="11" fillId="2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2025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20.08.2026</t>
        </is>
      </c>
    </row>
    <row r="6">
      <c r="A6" s="7" t="n"/>
    </row>
    <row r="8" ht="15.75" customFormat="1" customHeight="1" s="17">
      <c r="A8" s="9" t="inlineStr">
        <is>
          <t>Innrapporterte produksjonstall TOTALT i januar 2025.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januar 2025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479</v>
      </c>
      <c r="D21" s="26" t="n">
        <v>-25</v>
      </c>
      <c r="E21" s="26" t="n">
        <v>765</v>
      </c>
      <c r="F21" s="26" t="n">
        <v>0</v>
      </c>
      <c r="G21" s="26" t="n">
        <v>0</v>
      </c>
      <c r="H21" s="26" t="n">
        <v>2</v>
      </c>
      <c r="I21" s="26" t="n">
        <v>629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1010</v>
      </c>
      <c r="D22" s="26" t="n">
        <v>21</v>
      </c>
      <c r="E22" s="26" t="n">
        <v>2074</v>
      </c>
      <c r="F22" s="26" t="n">
        <v>0</v>
      </c>
      <c r="G22" s="26" t="n">
        <v>544</v>
      </c>
      <c r="H22" s="26" t="n">
        <v>412</v>
      </c>
      <c r="I22" s="26" t="n">
        <v>23148</v>
      </c>
      <c r="J22" s="26" t="n">
        <v>0</v>
      </c>
      <c r="K22" s="26" t="n">
        <v>0</v>
      </c>
      <c r="L22" s="26" t="n">
        <v>0</v>
      </c>
      <c r="M22" s="26" t="n">
        <v>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912</v>
      </c>
      <c r="D23" s="26" t="n">
        <v>26</v>
      </c>
      <c r="E23" s="26" t="n">
        <v>2306</v>
      </c>
      <c r="F23" s="26" t="n">
        <v>0</v>
      </c>
      <c r="G23" s="26" t="n">
        <v>2194</v>
      </c>
      <c r="H23" s="26" t="n">
        <v>340</v>
      </c>
      <c r="I23" s="26" t="n">
        <v>35532</v>
      </c>
      <c r="J23" s="26" t="n">
        <v>0</v>
      </c>
      <c r="K23" s="26" t="n">
        <v>0</v>
      </c>
      <c r="L23" s="26" t="n">
        <v>2</v>
      </c>
      <c r="M23" s="26" t="n">
        <v>804</v>
      </c>
      <c r="N23" s="26" t="n">
        <v>0</v>
      </c>
      <c r="O23" s="26" t="n">
        <v>106</v>
      </c>
      <c r="P23" s="26" t="n">
        <v>11</v>
      </c>
      <c r="Q23" s="26" t="n">
        <v>788</v>
      </c>
      <c r="R23" s="26" t="n">
        <v>0</v>
      </c>
      <c r="S23" s="26" t="n">
        <v>43</v>
      </c>
      <c r="T23" s="26" t="n">
        <v>28</v>
      </c>
      <c r="U23" s="26" t="n">
        <v>3855</v>
      </c>
      <c r="V23" s="26" t="n">
        <v>0</v>
      </c>
      <c r="W23" s="26" t="n">
        <v>0</v>
      </c>
      <c r="X23" s="26" t="n">
        <v>0</v>
      </c>
      <c r="Y23" s="26" t="n">
        <v>0</v>
      </c>
    </row>
    <row r="24">
      <c r="A24" s="26" t="inlineStr">
        <is>
          <t>Område 4: Nordhordland til Stadt</t>
        </is>
      </c>
      <c r="B24" s="26" t="n">
        <v>0</v>
      </c>
      <c r="C24" s="26" t="n">
        <v>1028</v>
      </c>
      <c r="D24" s="26" t="n">
        <v>28</v>
      </c>
      <c r="E24" s="26" t="n">
        <v>2041</v>
      </c>
      <c r="F24" s="26" t="n">
        <v>0</v>
      </c>
      <c r="G24" s="26" t="n">
        <v>496</v>
      </c>
      <c r="H24" s="26" t="n">
        <v>218</v>
      </c>
      <c r="I24" s="26" t="n">
        <v>21232</v>
      </c>
      <c r="J24" s="26" t="n">
        <v>0</v>
      </c>
      <c r="K24" s="26" t="n">
        <v>0</v>
      </c>
      <c r="L24" s="26" t="n">
        <v>0</v>
      </c>
      <c r="M24" s="26" t="n">
        <v>0</v>
      </c>
      <c r="N24" s="26" t="n">
        <v>0</v>
      </c>
      <c r="O24" s="26" t="n">
        <v>877</v>
      </c>
      <c r="P24" s="26" t="n">
        <v>-7</v>
      </c>
      <c r="Q24" s="26" t="n">
        <v>1327</v>
      </c>
      <c r="R24" s="26" t="n">
        <v>0</v>
      </c>
      <c r="S24" s="26" t="n">
        <v>781</v>
      </c>
      <c r="T24" s="26" t="n">
        <v>111</v>
      </c>
      <c r="U24" s="26" t="n">
        <v>16078</v>
      </c>
      <c r="V24" s="26" t="n">
        <v>196</v>
      </c>
      <c r="W24" s="26" t="n">
        <v>0</v>
      </c>
      <c r="X24" s="26" t="n">
        <v>16</v>
      </c>
      <c r="Y24" s="26" t="n">
        <v>1022</v>
      </c>
    </row>
    <row r="25">
      <c r="A25" s="26" t="inlineStr">
        <is>
          <t>Område 5: Stadt til Hustadvika</t>
        </is>
      </c>
      <c r="B25" s="26" t="n">
        <v>0</v>
      </c>
      <c r="C25" s="26" t="n">
        <v>648</v>
      </c>
      <c r="D25" s="26" t="n">
        <v>26</v>
      </c>
      <c r="E25" s="26" t="n">
        <v>1636</v>
      </c>
      <c r="F25" s="26" t="n">
        <v>0</v>
      </c>
      <c r="G25" s="26" t="n">
        <v>580</v>
      </c>
      <c r="H25" s="26" t="n">
        <v>342</v>
      </c>
      <c r="I25" s="26" t="n">
        <v>25598</v>
      </c>
      <c r="J25" s="26" t="n">
        <v>0</v>
      </c>
      <c r="K25" s="26" t="n">
        <v>0</v>
      </c>
      <c r="L25" s="26" t="n">
        <v>0</v>
      </c>
      <c r="M25" s="26" t="n">
        <v>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130</v>
      </c>
      <c r="T25" s="26" t="n">
        <v>36</v>
      </c>
      <c r="U25" s="26" t="n">
        <v>2004</v>
      </c>
      <c r="V25" s="26" t="n">
        <v>0</v>
      </c>
      <c r="W25" s="26" t="n">
        <v>0</v>
      </c>
      <c r="X25" s="26" t="n">
        <v>0</v>
      </c>
      <c r="Y25" s="26" t="n">
        <v>151</v>
      </c>
    </row>
    <row r="26">
      <c r="A26" s="26" t="inlineStr">
        <is>
          <t>Område 6: Nordmøre og Sør-Trøndelag</t>
        </is>
      </c>
      <c r="B26" s="26" t="n">
        <v>0</v>
      </c>
      <c r="C26" s="26" t="n">
        <v>2748</v>
      </c>
      <c r="D26" s="26" t="n">
        <v>200</v>
      </c>
      <c r="E26" s="26" t="n">
        <v>9743</v>
      </c>
      <c r="F26" s="26" t="n">
        <v>0</v>
      </c>
      <c r="G26" s="26" t="n">
        <v>613</v>
      </c>
      <c r="H26" s="26" t="n">
        <v>826</v>
      </c>
      <c r="I26" s="26" t="n">
        <v>59957</v>
      </c>
      <c r="J26" s="26" t="n">
        <v>5406</v>
      </c>
      <c r="K26" s="26" t="n">
        <v>0</v>
      </c>
      <c r="L26" s="26" t="n">
        <v>67</v>
      </c>
      <c r="M26" s="26" t="n">
        <v>8334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59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1483</v>
      </c>
      <c r="D27" s="26" t="n">
        <v>90</v>
      </c>
      <c r="E27" s="26" t="n">
        <v>8538</v>
      </c>
      <c r="F27" s="26" t="n">
        <v>0</v>
      </c>
      <c r="G27" s="26" t="n">
        <v>440</v>
      </c>
      <c r="H27" s="26" t="n">
        <v>434</v>
      </c>
      <c r="I27" s="26" t="n">
        <v>33446</v>
      </c>
      <c r="J27" s="26" t="n">
        <v>0</v>
      </c>
      <c r="K27" s="26" t="n">
        <v>0</v>
      </c>
      <c r="L27" s="26" t="n">
        <v>4</v>
      </c>
      <c r="M27" s="26" t="n">
        <v>1346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2290</v>
      </c>
      <c r="D28" s="26" t="n">
        <v>45</v>
      </c>
      <c r="E28" s="26" t="n">
        <v>4815</v>
      </c>
      <c r="F28" s="26" t="n">
        <v>0</v>
      </c>
      <c r="G28" s="26" t="n">
        <v>281</v>
      </c>
      <c r="H28" s="26" t="n">
        <v>260</v>
      </c>
      <c r="I28" s="26" t="n">
        <v>41998</v>
      </c>
      <c r="J28" s="26" t="n">
        <v>0</v>
      </c>
      <c r="K28" s="26" t="n">
        <v>0</v>
      </c>
      <c r="L28" s="26" t="n">
        <v>0</v>
      </c>
      <c r="M28" s="26" t="n">
        <v>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3641</v>
      </c>
      <c r="D29" s="26" t="n">
        <v>76</v>
      </c>
      <c r="E29" s="26" t="n">
        <v>12529</v>
      </c>
      <c r="F29" s="26" t="n">
        <v>0</v>
      </c>
      <c r="G29" s="26" t="n">
        <v>81</v>
      </c>
      <c r="H29" s="26" t="n">
        <v>315</v>
      </c>
      <c r="I29" s="26" t="n">
        <v>36676</v>
      </c>
      <c r="J29" s="26" t="n">
        <v>0</v>
      </c>
      <c r="K29" s="26" t="n">
        <v>0</v>
      </c>
      <c r="L29" s="26" t="n">
        <v>0</v>
      </c>
      <c r="M29" s="26" t="n">
        <v>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1239</v>
      </c>
      <c r="D30" s="26" t="n">
        <v>31</v>
      </c>
      <c r="E30" s="26" t="n">
        <v>10579</v>
      </c>
      <c r="F30" s="26" t="n">
        <v>0</v>
      </c>
      <c r="G30" s="26" t="n">
        <v>0</v>
      </c>
      <c r="H30" s="26" t="n">
        <v>241</v>
      </c>
      <c r="I30" s="26" t="n">
        <v>37022</v>
      </c>
      <c r="J30" s="26" t="n">
        <v>0</v>
      </c>
      <c r="K30" s="26" t="n">
        <v>0</v>
      </c>
      <c r="L30" s="26" t="n">
        <v>0</v>
      </c>
      <c r="M30" s="26" t="n">
        <v>0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1448</v>
      </c>
      <c r="D31" s="26" t="n">
        <v>54</v>
      </c>
      <c r="E31" s="26" t="n">
        <v>5495</v>
      </c>
      <c r="F31" s="26" t="n">
        <v>0</v>
      </c>
      <c r="G31" s="26" t="n">
        <v>78</v>
      </c>
      <c r="H31" s="26" t="n">
        <v>400</v>
      </c>
      <c r="I31" s="26" t="n">
        <v>23610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1914</v>
      </c>
      <c r="D32" s="26" t="n">
        <v>137</v>
      </c>
      <c r="E32" s="26" t="n">
        <v>9410</v>
      </c>
      <c r="F32" s="26" t="n">
        <v>0</v>
      </c>
      <c r="G32" s="26" t="n">
        <v>0</v>
      </c>
      <c r="H32" s="26" t="n">
        <v>376</v>
      </c>
      <c r="I32" s="26" t="n">
        <v>30822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4</v>
      </c>
      <c r="E33" s="26" t="n">
        <v>710</v>
      </c>
      <c r="F33" s="26" t="n">
        <v>0</v>
      </c>
      <c r="G33" s="26" t="n">
        <v>0</v>
      </c>
      <c r="H33" s="26" t="n">
        <v>5</v>
      </c>
      <c r="I33" s="26" t="n">
        <v>1759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290</v>
      </c>
      <c r="D34" s="26" t="n">
        <v>8</v>
      </c>
      <c r="E34" s="26" t="n">
        <v>502</v>
      </c>
      <c r="F34" s="26" t="n">
        <v>0</v>
      </c>
      <c r="G34" s="26" t="n">
        <v>36</v>
      </c>
      <c r="H34" s="26" t="n">
        <v>70</v>
      </c>
      <c r="I34" s="26" t="n">
        <v>4221</v>
      </c>
      <c r="J34" s="26" t="n">
        <v>0</v>
      </c>
      <c r="K34" s="26" t="n">
        <v>0</v>
      </c>
      <c r="L34" s="26" t="n">
        <v>0</v>
      </c>
      <c r="M34" s="26" t="n">
        <v>0</v>
      </c>
      <c r="N34" s="26" t="n">
        <v>0</v>
      </c>
      <c r="O34" s="26" t="n">
        <v>13</v>
      </c>
      <c r="P34" s="26" t="n">
        <v>2</v>
      </c>
      <c r="Q34" s="26" t="n">
        <v>3</v>
      </c>
      <c r="R34" s="26" t="n">
        <v>0</v>
      </c>
      <c r="S34" s="26" t="n">
        <v>43</v>
      </c>
      <c r="T34" s="26" t="n">
        <v>4</v>
      </c>
      <c r="U34" s="26" t="n">
        <v>536</v>
      </c>
      <c r="V34" s="26" t="n">
        <v>0</v>
      </c>
      <c r="W34" s="26" t="n">
        <v>0</v>
      </c>
      <c r="X34" s="26" t="n">
        <v>0</v>
      </c>
      <c r="Y34" s="26" t="n">
        <v>0</v>
      </c>
    </row>
    <row r="35">
      <c r="A35" s="27" t="inlineStr">
        <is>
          <t>Totalt</t>
        </is>
      </c>
      <c r="B35" s="27" t="n">
        <v>0</v>
      </c>
      <c r="C35" s="27" t="n">
        <v>19129</v>
      </c>
      <c r="D35" s="27" t="n">
        <v>722</v>
      </c>
      <c r="E35" s="27" t="n">
        <v>71143</v>
      </c>
      <c r="F35" s="27" t="n">
        <v>0</v>
      </c>
      <c r="G35" s="27" t="n">
        <v>5343</v>
      </c>
      <c r="H35" s="27" t="n">
        <v>4241</v>
      </c>
      <c r="I35" s="27" t="n">
        <v>375649</v>
      </c>
      <c r="J35" s="27" t="n">
        <v>5406</v>
      </c>
      <c r="K35" s="27" t="n">
        <v>0</v>
      </c>
      <c r="L35" s="27" t="n">
        <v>73</v>
      </c>
      <c r="M35" s="27" t="n">
        <v>10484</v>
      </c>
      <c r="N35" s="27" t="n">
        <v>0</v>
      </c>
      <c r="O35" s="27" t="n">
        <v>996</v>
      </c>
      <c r="P35" s="27" t="n">
        <v>6</v>
      </c>
      <c r="Q35" s="27" t="n">
        <v>2118</v>
      </c>
      <c r="R35" s="27" t="n">
        <v>0</v>
      </c>
      <c r="S35" s="27" t="n">
        <v>997</v>
      </c>
      <c r="T35" s="27" t="n">
        <v>180</v>
      </c>
      <c r="U35" s="27" t="n">
        <v>22532</v>
      </c>
      <c r="V35" s="27" t="n">
        <v>196</v>
      </c>
      <c r="W35" s="27" t="n">
        <v>0</v>
      </c>
      <c r="X35" s="27" t="n">
        <v>17</v>
      </c>
      <c r="Y35" s="27" t="n">
        <v>1173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2025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20.08.2026</t>
        </is>
      </c>
    </row>
    <row r="6">
      <c r="A6" s="7" t="n"/>
    </row>
    <row r="8" ht="15.75" customFormat="1" customHeight="1" s="17">
      <c r="A8" s="9" t="inlineStr">
        <is>
          <t>Innrapporterte produksjonstall TOTALT i februar 2025.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februar 2025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563</v>
      </c>
      <c r="D21" s="26" t="n">
        <v>67</v>
      </c>
      <c r="E21" s="26" t="n">
        <v>236</v>
      </c>
      <c r="F21" s="26" t="n">
        <v>0</v>
      </c>
      <c r="G21" s="26" t="n">
        <v>0</v>
      </c>
      <c r="H21" s="26" t="n">
        <v>1</v>
      </c>
      <c r="I21" s="26" t="n">
        <v>628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624</v>
      </c>
      <c r="D22" s="26" t="n">
        <v>33</v>
      </c>
      <c r="E22" s="26" t="n">
        <v>1429</v>
      </c>
      <c r="F22" s="26" t="n">
        <v>0</v>
      </c>
      <c r="G22" s="26" t="n">
        <v>930</v>
      </c>
      <c r="H22" s="26" t="n">
        <v>389</v>
      </c>
      <c r="I22" s="26" t="n">
        <v>21808</v>
      </c>
      <c r="J22" s="26" t="n">
        <v>0</v>
      </c>
      <c r="K22" s="26" t="n">
        <v>0</v>
      </c>
      <c r="L22" s="26" t="n">
        <v>0</v>
      </c>
      <c r="M22" s="26" t="n">
        <v>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247</v>
      </c>
      <c r="D23" s="26" t="n">
        <v>-3</v>
      </c>
      <c r="E23" s="26" t="n">
        <v>1993</v>
      </c>
      <c r="F23" s="26" t="n">
        <v>0</v>
      </c>
      <c r="G23" s="26" t="n">
        <v>2233</v>
      </c>
      <c r="H23" s="26" t="n">
        <v>381</v>
      </c>
      <c r="I23" s="26" t="n">
        <v>32898</v>
      </c>
      <c r="J23" s="26" t="n">
        <v>0</v>
      </c>
      <c r="K23" s="26" t="n">
        <v>0</v>
      </c>
      <c r="L23" s="26" t="n">
        <v>3</v>
      </c>
      <c r="M23" s="26" t="n">
        <v>801</v>
      </c>
      <c r="N23" s="26" t="n">
        <v>0</v>
      </c>
      <c r="O23" s="26" t="n">
        <v>111</v>
      </c>
      <c r="P23" s="26" t="n">
        <v>4</v>
      </c>
      <c r="Q23" s="26" t="n">
        <v>668</v>
      </c>
      <c r="R23" s="26" t="n">
        <v>0</v>
      </c>
      <c r="S23" s="26" t="n">
        <v>120</v>
      </c>
      <c r="T23" s="26" t="n">
        <v>34</v>
      </c>
      <c r="U23" s="26" t="n">
        <v>3512</v>
      </c>
      <c r="V23" s="26" t="n">
        <v>0</v>
      </c>
      <c r="W23" s="26" t="n">
        <v>0</v>
      </c>
      <c r="X23" s="26" t="n">
        <v>0</v>
      </c>
      <c r="Y23" s="26" t="n">
        <v>188</v>
      </c>
    </row>
    <row r="24">
      <c r="A24" s="26" t="inlineStr">
        <is>
          <t>Område 4: Nordhordland til Stadt</t>
        </is>
      </c>
      <c r="B24" s="26" t="n">
        <v>0</v>
      </c>
      <c r="C24" s="26" t="n">
        <v>589</v>
      </c>
      <c r="D24" s="26" t="n">
        <v>53</v>
      </c>
      <c r="E24" s="26" t="n">
        <v>1450</v>
      </c>
      <c r="F24" s="26" t="n">
        <v>0</v>
      </c>
      <c r="G24" s="26" t="n">
        <v>605</v>
      </c>
      <c r="H24" s="26" t="n">
        <v>303</v>
      </c>
      <c r="I24" s="26" t="n">
        <v>20307</v>
      </c>
      <c r="J24" s="26" t="n">
        <v>0</v>
      </c>
      <c r="K24" s="26" t="n">
        <v>0</v>
      </c>
      <c r="L24" s="26" t="n">
        <v>0</v>
      </c>
      <c r="M24" s="26" t="n">
        <v>50</v>
      </c>
      <c r="N24" s="26" t="n">
        <v>0</v>
      </c>
      <c r="O24" s="26" t="n">
        <v>660</v>
      </c>
      <c r="P24" s="26" t="n">
        <v>6</v>
      </c>
      <c r="Q24" s="26" t="n">
        <v>695</v>
      </c>
      <c r="R24" s="26" t="n">
        <v>0</v>
      </c>
      <c r="S24" s="26" t="n">
        <v>500</v>
      </c>
      <c r="T24" s="26" t="n">
        <v>118</v>
      </c>
      <c r="U24" s="26" t="n">
        <v>15528</v>
      </c>
      <c r="V24" s="26" t="n">
        <v>494</v>
      </c>
      <c r="W24" s="26" t="n">
        <v>0</v>
      </c>
      <c r="X24" s="26" t="n">
        <v>6</v>
      </c>
      <c r="Y24" s="26" t="n">
        <v>1585</v>
      </c>
    </row>
    <row r="25">
      <c r="A25" s="26" t="inlineStr">
        <is>
          <t>Område 5: Stadt til Hustadvika</t>
        </is>
      </c>
      <c r="B25" s="26" t="n">
        <v>0</v>
      </c>
      <c r="C25" s="26" t="n">
        <v>311</v>
      </c>
      <c r="D25" s="26" t="n">
        <v>20</v>
      </c>
      <c r="E25" s="26" t="n">
        <v>1317</v>
      </c>
      <c r="F25" s="26" t="n">
        <v>0</v>
      </c>
      <c r="G25" s="26" t="n">
        <v>602</v>
      </c>
      <c r="H25" s="26" t="n">
        <v>396</v>
      </c>
      <c r="I25" s="26" t="n">
        <v>24528</v>
      </c>
      <c r="J25" s="26" t="n">
        <v>0</v>
      </c>
      <c r="K25" s="26" t="n">
        <v>0</v>
      </c>
      <c r="L25" s="26" t="n">
        <v>6</v>
      </c>
      <c r="M25" s="26" t="n">
        <v>1102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206</v>
      </c>
      <c r="T25" s="26" t="n">
        <v>49</v>
      </c>
      <c r="U25" s="26" t="n">
        <v>1756</v>
      </c>
      <c r="V25" s="26" t="n">
        <v>0</v>
      </c>
      <c r="W25" s="26" t="n">
        <v>0</v>
      </c>
      <c r="X25" s="26" t="n">
        <v>0</v>
      </c>
      <c r="Y25" s="26" t="n">
        <v>151</v>
      </c>
    </row>
    <row r="26">
      <c r="A26" s="26" t="inlineStr">
        <is>
          <t>Område 6: Nordmøre og Sør-Trøndelag</t>
        </is>
      </c>
      <c r="B26" s="26" t="n">
        <v>0</v>
      </c>
      <c r="C26" s="26" t="n">
        <v>2142</v>
      </c>
      <c r="D26" s="26" t="n">
        <v>146</v>
      </c>
      <c r="E26" s="26" t="n">
        <v>7435</v>
      </c>
      <c r="F26" s="26" t="n">
        <v>0</v>
      </c>
      <c r="G26" s="26" t="n">
        <v>876</v>
      </c>
      <c r="H26" s="26" t="n">
        <v>669</v>
      </c>
      <c r="I26" s="26" t="n">
        <v>58432</v>
      </c>
      <c r="J26" s="26" t="n">
        <v>399</v>
      </c>
      <c r="K26" s="26" t="n">
        <v>0</v>
      </c>
      <c r="L26" s="26" t="n">
        <v>54</v>
      </c>
      <c r="M26" s="26" t="n">
        <v>8279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59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1794</v>
      </c>
      <c r="D27" s="26" t="n">
        <v>106</v>
      </c>
      <c r="E27" s="26" t="n">
        <v>6575</v>
      </c>
      <c r="F27" s="26" t="n">
        <v>0</v>
      </c>
      <c r="G27" s="26" t="n">
        <v>634</v>
      </c>
      <c r="H27" s="26" t="n">
        <v>448</v>
      </c>
      <c r="I27" s="26" t="n">
        <v>32348</v>
      </c>
      <c r="J27" s="26" t="n">
        <v>0</v>
      </c>
      <c r="K27" s="26" t="n">
        <v>0</v>
      </c>
      <c r="L27" s="26" t="n">
        <v>9</v>
      </c>
      <c r="M27" s="26" t="n">
        <v>1338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1227</v>
      </c>
      <c r="D28" s="26" t="n">
        <v>24</v>
      </c>
      <c r="E28" s="26" t="n">
        <v>3544</v>
      </c>
      <c r="F28" s="26" t="n">
        <v>0</v>
      </c>
      <c r="G28" s="26" t="n">
        <v>839</v>
      </c>
      <c r="H28" s="26" t="n">
        <v>224</v>
      </c>
      <c r="I28" s="26" t="n">
        <v>40921</v>
      </c>
      <c r="J28" s="26" t="n">
        <v>0</v>
      </c>
      <c r="K28" s="26" t="n">
        <v>0</v>
      </c>
      <c r="L28" s="26" t="n">
        <v>3</v>
      </c>
      <c r="M28" s="26" t="n">
        <v>248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2800</v>
      </c>
      <c r="D29" s="26" t="n">
        <v>28</v>
      </c>
      <c r="E29" s="26" t="n">
        <v>9647</v>
      </c>
      <c r="F29" s="26" t="n">
        <v>0</v>
      </c>
      <c r="G29" s="26" t="n">
        <v>202</v>
      </c>
      <c r="H29" s="26" t="n">
        <v>539</v>
      </c>
      <c r="I29" s="26" t="n">
        <v>35929</v>
      </c>
      <c r="J29" s="26" t="n">
        <v>0</v>
      </c>
      <c r="K29" s="26" t="n">
        <v>0</v>
      </c>
      <c r="L29" s="26" t="n">
        <v>0</v>
      </c>
      <c r="M29" s="26" t="n">
        <v>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1510</v>
      </c>
      <c r="D30" s="26" t="n">
        <v>11</v>
      </c>
      <c r="E30" s="26" t="n">
        <v>8999</v>
      </c>
      <c r="F30" s="26" t="n">
        <v>0</v>
      </c>
      <c r="G30" s="26" t="n">
        <v>0</v>
      </c>
      <c r="H30" s="26" t="n">
        <v>230</v>
      </c>
      <c r="I30" s="26" t="n">
        <v>36792</v>
      </c>
      <c r="J30" s="26" t="n">
        <v>0</v>
      </c>
      <c r="K30" s="26" t="n">
        <v>0</v>
      </c>
      <c r="L30" s="26" t="n">
        <v>0</v>
      </c>
      <c r="M30" s="26" t="n">
        <v>0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979</v>
      </c>
      <c r="D31" s="26" t="n">
        <v>40</v>
      </c>
      <c r="E31" s="26" t="n">
        <v>4497</v>
      </c>
      <c r="F31" s="26" t="n">
        <v>0</v>
      </c>
      <c r="G31" s="26" t="n">
        <v>358</v>
      </c>
      <c r="H31" s="26" t="n">
        <v>642</v>
      </c>
      <c r="I31" s="26" t="n">
        <v>22642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2389</v>
      </c>
      <c r="D32" s="26" t="n">
        <v>97</v>
      </c>
      <c r="E32" s="26" t="n">
        <v>6850</v>
      </c>
      <c r="F32" s="26" t="n">
        <v>0</v>
      </c>
      <c r="G32" s="26" t="n">
        <v>0</v>
      </c>
      <c r="H32" s="26" t="n">
        <v>382</v>
      </c>
      <c r="I32" s="26" t="n">
        <v>30437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72</v>
      </c>
      <c r="D33" s="26" t="n">
        <v>5</v>
      </c>
      <c r="E33" s="26" t="n">
        <v>634</v>
      </c>
      <c r="F33" s="26" t="n">
        <v>0</v>
      </c>
      <c r="G33" s="26" t="n">
        <v>0</v>
      </c>
      <c r="H33" s="26" t="n">
        <v>3</v>
      </c>
      <c r="I33" s="26" t="n">
        <v>1756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159</v>
      </c>
      <c r="D34" s="26" t="n">
        <v>5</v>
      </c>
      <c r="E34" s="26" t="n">
        <v>331</v>
      </c>
      <c r="F34" s="26" t="n">
        <v>0</v>
      </c>
      <c r="G34" s="26" t="n">
        <v>75</v>
      </c>
      <c r="H34" s="26" t="n">
        <v>38</v>
      </c>
      <c r="I34" s="26" t="n">
        <v>4030</v>
      </c>
      <c r="J34" s="26" t="n">
        <v>108</v>
      </c>
      <c r="K34" s="26" t="n">
        <v>0</v>
      </c>
      <c r="L34" s="26" t="n">
        <v>0</v>
      </c>
      <c r="M34" s="26" t="n">
        <v>103</v>
      </c>
      <c r="N34" s="26" t="n">
        <v>0</v>
      </c>
      <c r="O34" s="26" t="n">
        <v>0</v>
      </c>
      <c r="P34" s="26" t="n">
        <v>4</v>
      </c>
      <c r="Q34" s="26" t="n">
        <v>210</v>
      </c>
      <c r="R34" s="26" t="n">
        <v>0</v>
      </c>
      <c r="S34" s="26" t="n">
        <v>32</v>
      </c>
      <c r="T34" s="26" t="n">
        <v>22</v>
      </c>
      <c r="U34" s="26" t="n">
        <v>482</v>
      </c>
      <c r="V34" s="26" t="n">
        <v>0</v>
      </c>
      <c r="W34" s="26" t="n">
        <v>0</v>
      </c>
      <c r="X34" s="26" t="n">
        <v>0</v>
      </c>
      <c r="Y34" s="26" t="n">
        <v>0</v>
      </c>
    </row>
    <row r="35">
      <c r="A35" s="27" t="inlineStr">
        <is>
          <t>Totalt</t>
        </is>
      </c>
      <c r="B35" s="27" t="n">
        <v>0</v>
      </c>
      <c r="C35" s="27" t="n">
        <v>15405</v>
      </c>
      <c r="D35" s="27" t="n">
        <v>632</v>
      </c>
      <c r="E35" s="27" t="n">
        <v>54937</v>
      </c>
      <c r="F35" s="27" t="n">
        <v>0</v>
      </c>
      <c r="G35" s="27" t="n">
        <v>7353</v>
      </c>
      <c r="H35" s="27" t="n">
        <v>4645</v>
      </c>
      <c r="I35" s="27" t="n">
        <v>363458</v>
      </c>
      <c r="J35" s="27" t="n">
        <v>507</v>
      </c>
      <c r="K35" s="27" t="n">
        <v>0</v>
      </c>
      <c r="L35" s="27" t="n">
        <v>76</v>
      </c>
      <c r="M35" s="27" t="n">
        <v>11920</v>
      </c>
      <c r="N35" s="27" t="n">
        <v>0</v>
      </c>
      <c r="O35" s="27" t="n">
        <v>771</v>
      </c>
      <c r="P35" s="27" t="n">
        <v>14</v>
      </c>
      <c r="Q35" s="27" t="n">
        <v>1573</v>
      </c>
      <c r="R35" s="27" t="n">
        <v>0</v>
      </c>
      <c r="S35" s="27" t="n">
        <v>858</v>
      </c>
      <c r="T35" s="27" t="n">
        <v>223</v>
      </c>
      <c r="U35" s="27" t="n">
        <v>21336</v>
      </c>
      <c r="V35" s="27" t="n">
        <v>494</v>
      </c>
      <c r="W35" s="27" t="n">
        <v>0</v>
      </c>
      <c r="X35" s="27" t="n">
        <v>6</v>
      </c>
      <c r="Y35" s="27" t="n">
        <v>1924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2025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20.08.2026</t>
        </is>
      </c>
    </row>
    <row r="6">
      <c r="A6" s="7" t="n"/>
    </row>
    <row r="8" ht="15.75" customFormat="1" customHeight="1" s="17">
      <c r="A8" s="9" t="inlineStr">
        <is>
          <t>Innrapporterte produksjonstall TOTALT i mars 2025.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mars 2025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86</v>
      </c>
      <c r="D21" s="26" t="n">
        <v>-7</v>
      </c>
      <c r="E21" s="26" t="n">
        <v>138</v>
      </c>
      <c r="F21" s="26" t="n">
        <v>0</v>
      </c>
      <c r="G21" s="26" t="n">
        <v>0</v>
      </c>
      <c r="H21" s="26" t="n">
        <v>1</v>
      </c>
      <c r="I21" s="26" t="n">
        <v>626</v>
      </c>
      <c r="J21" s="26" t="n">
        <v>857</v>
      </c>
      <c r="K21" s="26" t="n">
        <v>0</v>
      </c>
      <c r="L21" s="26" t="n">
        <v>1</v>
      </c>
      <c r="M21" s="26" t="n">
        <v>1689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943</v>
      </c>
      <c r="D22" s="26" t="n">
        <v>9</v>
      </c>
      <c r="E22" s="26" t="n">
        <v>459</v>
      </c>
      <c r="F22" s="26" t="n">
        <v>0</v>
      </c>
      <c r="G22" s="26" t="n">
        <v>799</v>
      </c>
      <c r="H22" s="26" t="n">
        <v>198</v>
      </c>
      <c r="I22" s="26" t="n">
        <v>20367</v>
      </c>
      <c r="J22" s="26" t="n">
        <v>0</v>
      </c>
      <c r="K22" s="26" t="n">
        <v>0</v>
      </c>
      <c r="L22" s="26" t="n">
        <v>3</v>
      </c>
      <c r="M22" s="26" t="n">
        <v>1579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521</v>
      </c>
      <c r="D23" s="26" t="n">
        <v>-0</v>
      </c>
      <c r="E23" s="26" t="n">
        <v>1303</v>
      </c>
      <c r="F23" s="26" t="n">
        <v>0</v>
      </c>
      <c r="G23" s="26" t="n">
        <v>2436</v>
      </c>
      <c r="H23" s="26" t="n">
        <v>331</v>
      </c>
      <c r="I23" s="26" t="n">
        <v>27858</v>
      </c>
      <c r="J23" s="26" t="n">
        <v>2249</v>
      </c>
      <c r="K23" s="26" t="n">
        <v>0</v>
      </c>
      <c r="L23" s="26" t="n">
        <v>74</v>
      </c>
      <c r="M23" s="26" t="n">
        <v>12246</v>
      </c>
      <c r="N23" s="26" t="n">
        <v>0</v>
      </c>
      <c r="O23" s="26" t="n">
        <v>216</v>
      </c>
      <c r="P23" s="26" t="n">
        <v>-3</v>
      </c>
      <c r="Q23" s="26" t="n">
        <v>443</v>
      </c>
      <c r="R23" s="26" t="n">
        <v>0</v>
      </c>
      <c r="S23" s="26" t="n">
        <v>48</v>
      </c>
      <c r="T23" s="26" t="n">
        <v>37</v>
      </c>
      <c r="U23" s="26" t="n">
        <v>3428</v>
      </c>
      <c r="V23" s="26" t="n">
        <v>1433</v>
      </c>
      <c r="W23" s="26" t="n">
        <v>0</v>
      </c>
      <c r="X23" s="26" t="n">
        <v>10</v>
      </c>
      <c r="Y23" s="26" t="n">
        <v>1793</v>
      </c>
    </row>
    <row r="24">
      <c r="A24" s="26" t="inlineStr">
        <is>
          <t>Område 4: Nordhordland til Stadt</t>
        </is>
      </c>
      <c r="B24" s="26" t="n">
        <v>0</v>
      </c>
      <c r="C24" s="26" t="n">
        <v>47</v>
      </c>
      <c r="D24" s="26" t="n">
        <v>36</v>
      </c>
      <c r="E24" s="26" t="n">
        <v>1684</v>
      </c>
      <c r="F24" s="26" t="n">
        <v>0</v>
      </c>
      <c r="G24" s="26" t="n">
        <v>522</v>
      </c>
      <c r="H24" s="26" t="n">
        <v>255</v>
      </c>
      <c r="I24" s="26" t="n">
        <v>19533</v>
      </c>
      <c r="J24" s="26" t="n">
        <v>1367</v>
      </c>
      <c r="K24" s="26" t="n">
        <v>0</v>
      </c>
      <c r="L24" s="26" t="n">
        <v>12</v>
      </c>
      <c r="M24" s="26" t="n">
        <v>3788</v>
      </c>
      <c r="N24" s="26" t="n">
        <v>0</v>
      </c>
      <c r="O24" s="26" t="n">
        <v>470</v>
      </c>
      <c r="P24" s="26" t="n">
        <v>13</v>
      </c>
      <c r="Q24" s="26" t="n">
        <v>228</v>
      </c>
      <c r="R24" s="26" t="n">
        <v>0</v>
      </c>
      <c r="S24" s="26" t="n">
        <v>880</v>
      </c>
      <c r="T24" s="26" t="n">
        <v>91</v>
      </c>
      <c r="U24" s="26" t="n">
        <v>15028</v>
      </c>
      <c r="V24" s="26" t="n">
        <v>748</v>
      </c>
      <c r="W24" s="26" t="n">
        <v>0</v>
      </c>
      <c r="X24" s="26" t="n">
        <v>12</v>
      </c>
      <c r="Y24" s="26" t="n">
        <v>2348</v>
      </c>
    </row>
    <row r="25">
      <c r="A25" s="26" t="inlineStr">
        <is>
          <t>Område 5: Stadt til Hustadvika</t>
        </is>
      </c>
      <c r="B25" s="26" t="n">
        <v>0</v>
      </c>
      <c r="C25" s="26" t="n">
        <v>975</v>
      </c>
      <c r="D25" s="26" t="n">
        <v>16</v>
      </c>
      <c r="E25" s="26" t="n">
        <v>339</v>
      </c>
      <c r="F25" s="26" t="n">
        <v>0</v>
      </c>
      <c r="G25" s="26" t="n">
        <v>997</v>
      </c>
      <c r="H25" s="26" t="n">
        <v>315</v>
      </c>
      <c r="I25" s="26" t="n">
        <v>23226</v>
      </c>
      <c r="J25" s="26" t="n">
        <v>0</v>
      </c>
      <c r="K25" s="26" t="n">
        <v>0</v>
      </c>
      <c r="L25" s="26" t="n">
        <v>6</v>
      </c>
      <c r="M25" s="26" t="n">
        <v>1096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111</v>
      </c>
      <c r="T25" s="26" t="n">
        <v>34</v>
      </c>
      <c r="U25" s="26" t="n">
        <v>1609</v>
      </c>
      <c r="V25" s="26" t="n">
        <v>0</v>
      </c>
      <c r="W25" s="26" t="n">
        <v>0</v>
      </c>
      <c r="X25" s="26" t="n">
        <v>1</v>
      </c>
      <c r="Y25" s="26" t="n">
        <v>487</v>
      </c>
    </row>
    <row r="26">
      <c r="A26" s="26" t="inlineStr">
        <is>
          <t>Område 6: Nordmøre og Sør-Trøndelag</t>
        </is>
      </c>
      <c r="B26" s="26" t="n">
        <v>0</v>
      </c>
      <c r="C26" s="26" t="n">
        <v>1639</v>
      </c>
      <c r="D26" s="26" t="n">
        <v>92</v>
      </c>
      <c r="E26" s="26" t="n">
        <v>5571</v>
      </c>
      <c r="F26" s="26" t="n">
        <v>0</v>
      </c>
      <c r="G26" s="26" t="n">
        <v>1688</v>
      </c>
      <c r="H26" s="26" t="n">
        <v>574</v>
      </c>
      <c r="I26" s="26" t="n">
        <v>56308</v>
      </c>
      <c r="J26" s="26" t="n">
        <v>1085</v>
      </c>
      <c r="K26" s="26" t="n">
        <v>0</v>
      </c>
      <c r="L26" s="26" t="n">
        <v>77</v>
      </c>
      <c r="M26" s="26" t="n">
        <v>9286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40</v>
      </c>
      <c r="T26" s="26" t="n">
        <v>2</v>
      </c>
      <c r="U26" s="26" t="n">
        <v>17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2144</v>
      </c>
      <c r="D27" s="26" t="n">
        <v>58</v>
      </c>
      <c r="E27" s="26" t="n">
        <v>4235</v>
      </c>
      <c r="F27" s="26" t="n">
        <v>0</v>
      </c>
      <c r="G27" s="26" t="n">
        <v>407</v>
      </c>
      <c r="H27" s="26" t="n">
        <v>261</v>
      </c>
      <c r="I27" s="26" t="n">
        <v>31675</v>
      </c>
      <c r="J27" s="26" t="n">
        <v>0</v>
      </c>
      <c r="K27" s="26" t="n">
        <v>0</v>
      </c>
      <c r="L27" s="26" t="n">
        <v>8</v>
      </c>
      <c r="M27" s="26" t="n">
        <v>1329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1040</v>
      </c>
      <c r="D28" s="26" t="n">
        <v>32</v>
      </c>
      <c r="E28" s="26" t="n">
        <v>2418</v>
      </c>
      <c r="F28" s="26" t="n">
        <v>0</v>
      </c>
      <c r="G28" s="26" t="n">
        <v>719</v>
      </c>
      <c r="H28" s="26" t="n">
        <v>245</v>
      </c>
      <c r="I28" s="26" t="n">
        <v>39946</v>
      </c>
      <c r="J28" s="26" t="n">
        <v>279</v>
      </c>
      <c r="K28" s="26" t="n">
        <v>0</v>
      </c>
      <c r="L28" s="26" t="n">
        <v>22</v>
      </c>
      <c r="M28" s="26" t="n">
        <v>505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3412</v>
      </c>
      <c r="D29" s="26" t="n">
        <v>-13</v>
      </c>
      <c r="E29" s="26" t="n">
        <v>6140</v>
      </c>
      <c r="F29" s="26" t="n">
        <v>0</v>
      </c>
      <c r="G29" s="26" t="n">
        <v>532</v>
      </c>
      <c r="H29" s="26" t="n">
        <v>294</v>
      </c>
      <c r="I29" s="26" t="n">
        <v>35088</v>
      </c>
      <c r="J29" s="26" t="n">
        <v>0</v>
      </c>
      <c r="K29" s="26" t="n">
        <v>0</v>
      </c>
      <c r="L29" s="26" t="n">
        <v>0</v>
      </c>
      <c r="M29" s="26" t="n">
        <v>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2151</v>
      </c>
      <c r="D30" s="26" t="n">
        <v>-6</v>
      </c>
      <c r="E30" s="26" t="n">
        <v>6752</v>
      </c>
      <c r="F30" s="26" t="n">
        <v>0</v>
      </c>
      <c r="G30" s="26" t="n">
        <v>0</v>
      </c>
      <c r="H30" s="26" t="n">
        <v>237</v>
      </c>
      <c r="I30" s="26" t="n">
        <v>36555</v>
      </c>
      <c r="J30" s="26" t="n">
        <v>0</v>
      </c>
      <c r="K30" s="26" t="n">
        <v>0</v>
      </c>
      <c r="L30" s="26" t="n">
        <v>0</v>
      </c>
      <c r="M30" s="26" t="n">
        <v>0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1778</v>
      </c>
      <c r="D31" s="26" t="n">
        <v>-11</v>
      </c>
      <c r="E31" s="26" t="n">
        <v>3012</v>
      </c>
      <c r="F31" s="26" t="n">
        <v>0</v>
      </c>
      <c r="G31" s="26" t="n">
        <v>372</v>
      </c>
      <c r="H31" s="26" t="n">
        <v>159</v>
      </c>
      <c r="I31" s="26" t="n">
        <v>21755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2301</v>
      </c>
      <c r="D32" s="26" t="n">
        <v>69</v>
      </c>
      <c r="E32" s="26" t="n">
        <v>4435</v>
      </c>
      <c r="F32" s="26" t="n">
        <v>0</v>
      </c>
      <c r="G32" s="26" t="n">
        <v>54</v>
      </c>
      <c r="H32" s="26" t="n">
        <v>465</v>
      </c>
      <c r="I32" s="26" t="n">
        <v>29918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552</v>
      </c>
      <c r="D33" s="26" t="n">
        <v>3</v>
      </c>
      <c r="E33" s="26" t="n">
        <v>57</v>
      </c>
      <c r="F33" s="26" t="n">
        <v>0</v>
      </c>
      <c r="G33" s="26" t="n">
        <v>0</v>
      </c>
      <c r="H33" s="26" t="n">
        <v>4</v>
      </c>
      <c r="I33" s="26" t="n">
        <v>1752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32</v>
      </c>
      <c r="D34" s="26" t="n">
        <v>8</v>
      </c>
      <c r="E34" s="26" t="n">
        <v>291</v>
      </c>
      <c r="F34" s="26" t="n">
        <v>0</v>
      </c>
      <c r="G34" s="26" t="n">
        <v>177</v>
      </c>
      <c r="H34" s="26" t="n">
        <v>28</v>
      </c>
      <c r="I34" s="26" t="n">
        <v>3819</v>
      </c>
      <c r="J34" s="26" t="n">
        <v>1</v>
      </c>
      <c r="K34" s="26" t="n">
        <v>0</v>
      </c>
      <c r="L34" s="26" t="n">
        <v>2</v>
      </c>
      <c r="M34" s="26" t="n">
        <v>102</v>
      </c>
      <c r="N34" s="26" t="n">
        <v>0</v>
      </c>
      <c r="O34" s="26" t="n">
        <v>0</v>
      </c>
      <c r="P34" s="26" t="n">
        <v>1</v>
      </c>
      <c r="Q34" s="26" t="n">
        <v>208</v>
      </c>
      <c r="R34" s="26" t="n">
        <v>0</v>
      </c>
      <c r="S34" s="26" t="n">
        <v>88</v>
      </c>
      <c r="T34" s="26" t="n">
        <v>2</v>
      </c>
      <c r="U34" s="26" t="n">
        <v>390</v>
      </c>
      <c r="V34" s="26" t="n">
        <v>0</v>
      </c>
      <c r="W34" s="26" t="n">
        <v>0</v>
      </c>
      <c r="X34" s="26" t="n">
        <v>0</v>
      </c>
      <c r="Y34" s="26" t="n">
        <v>0</v>
      </c>
    </row>
    <row r="35">
      <c r="A35" s="27" t="inlineStr">
        <is>
          <t>Totalt</t>
        </is>
      </c>
      <c r="B35" s="27" t="n">
        <v>0</v>
      </c>
      <c r="C35" s="27" t="n">
        <v>17623</v>
      </c>
      <c r="D35" s="27" t="n">
        <v>286</v>
      </c>
      <c r="E35" s="27" t="n">
        <v>36834</v>
      </c>
      <c r="F35" s="27" t="n">
        <v>0</v>
      </c>
      <c r="G35" s="27" t="n">
        <v>8704</v>
      </c>
      <c r="H35" s="27" t="n">
        <v>3367</v>
      </c>
      <c r="I35" s="27" t="n">
        <v>348426</v>
      </c>
      <c r="J35" s="27" t="n">
        <v>5839</v>
      </c>
      <c r="K35" s="27" t="n">
        <v>0</v>
      </c>
      <c r="L35" s="27" t="n">
        <v>206</v>
      </c>
      <c r="M35" s="27" t="n">
        <v>31621</v>
      </c>
      <c r="N35" s="27" t="n">
        <v>0</v>
      </c>
      <c r="O35" s="27" t="n">
        <v>686</v>
      </c>
      <c r="P35" s="27" t="n">
        <v>11</v>
      </c>
      <c r="Q35" s="27" t="n">
        <v>879</v>
      </c>
      <c r="R35" s="27" t="n">
        <v>0</v>
      </c>
      <c r="S35" s="27" t="n">
        <v>1166</v>
      </c>
      <c r="T35" s="27" t="n">
        <v>166</v>
      </c>
      <c r="U35" s="27" t="n">
        <v>20472</v>
      </c>
      <c r="V35" s="27" t="n">
        <v>2181</v>
      </c>
      <c r="W35" s="27" t="n">
        <v>0</v>
      </c>
      <c r="X35" s="27" t="n">
        <v>22</v>
      </c>
      <c r="Y35" s="27" t="n">
        <v>4628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2025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20.08.2026</t>
        </is>
      </c>
    </row>
    <row r="6">
      <c r="A6" s="7" t="n"/>
    </row>
    <row r="8" ht="15.75" customFormat="1" customHeight="1" s="17">
      <c r="A8" s="9" t="inlineStr">
        <is>
          <t>Innrapporterte produksjonstall TOTALT i april 2025.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april 2025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126</v>
      </c>
      <c r="D21" s="26" t="n">
        <v>-6</v>
      </c>
      <c r="E21" s="26" t="n">
        <v>0</v>
      </c>
      <c r="F21" s="26" t="n">
        <v>0</v>
      </c>
      <c r="G21" s="26" t="n">
        <v>0</v>
      </c>
      <c r="H21" s="26" t="n">
        <v>1</v>
      </c>
      <c r="I21" s="26" t="n">
        <v>626</v>
      </c>
      <c r="J21" s="26" t="n">
        <v>0</v>
      </c>
      <c r="K21" s="26" t="n">
        <v>0</v>
      </c>
      <c r="L21" s="26" t="n">
        <v>8</v>
      </c>
      <c r="M21" s="26" t="n">
        <v>3103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408</v>
      </c>
      <c r="D22" s="26" t="n">
        <v>1</v>
      </c>
      <c r="E22" s="26" t="n">
        <v>44</v>
      </c>
      <c r="F22" s="26" t="n">
        <v>0</v>
      </c>
      <c r="G22" s="26" t="n">
        <v>827</v>
      </c>
      <c r="H22" s="26" t="n">
        <v>223</v>
      </c>
      <c r="I22" s="26" t="n">
        <v>18616</v>
      </c>
      <c r="J22" s="26" t="n">
        <v>1364</v>
      </c>
      <c r="K22" s="26" t="n">
        <v>0</v>
      </c>
      <c r="L22" s="26" t="n">
        <v>14</v>
      </c>
      <c r="M22" s="26" t="n">
        <v>4547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638</v>
      </c>
      <c r="D23" s="26" t="n">
        <v>33</v>
      </c>
      <c r="E23" s="26" t="n">
        <v>662</v>
      </c>
      <c r="F23" s="26" t="n">
        <v>0</v>
      </c>
      <c r="G23" s="26" t="n">
        <v>3747</v>
      </c>
      <c r="H23" s="26" t="n">
        <v>287</v>
      </c>
      <c r="I23" s="26" t="n">
        <v>23823</v>
      </c>
      <c r="J23" s="26" t="n">
        <v>3081</v>
      </c>
      <c r="K23" s="26" t="n">
        <v>0</v>
      </c>
      <c r="L23" s="26" t="n">
        <v>112</v>
      </c>
      <c r="M23" s="26" t="n">
        <v>17191</v>
      </c>
      <c r="N23" s="26" t="n">
        <v>0</v>
      </c>
      <c r="O23" s="26" t="n">
        <v>433</v>
      </c>
      <c r="P23" s="26" t="n">
        <v>-6</v>
      </c>
      <c r="Q23" s="26" t="n">
        <v>0</v>
      </c>
      <c r="R23" s="26" t="n">
        <v>0</v>
      </c>
      <c r="S23" s="26" t="n">
        <v>126</v>
      </c>
      <c r="T23" s="26" t="n">
        <v>18</v>
      </c>
      <c r="U23" s="26" t="n">
        <v>3271</v>
      </c>
      <c r="V23" s="26" t="n">
        <v>710</v>
      </c>
      <c r="W23" s="26" t="n">
        <v>0</v>
      </c>
      <c r="X23" s="26" t="n">
        <v>9</v>
      </c>
      <c r="Y23" s="26" t="n">
        <v>2493</v>
      </c>
    </row>
    <row r="24">
      <c r="A24" s="26" t="inlineStr">
        <is>
          <t>Område 4: Nordhordland til Stadt</t>
        </is>
      </c>
      <c r="B24" s="26" t="n">
        <v>0</v>
      </c>
      <c r="C24" s="26" t="n">
        <v>364</v>
      </c>
      <c r="D24" s="26" t="n">
        <v>34</v>
      </c>
      <c r="E24" s="26" t="n">
        <v>1706</v>
      </c>
      <c r="F24" s="26" t="n">
        <v>0</v>
      </c>
      <c r="G24" s="26" t="n">
        <v>1192</v>
      </c>
      <c r="H24" s="26" t="n">
        <v>169</v>
      </c>
      <c r="I24" s="26" t="n">
        <v>18105</v>
      </c>
      <c r="J24" s="26" t="n">
        <v>2379</v>
      </c>
      <c r="K24" s="26" t="n">
        <v>0</v>
      </c>
      <c r="L24" s="26" t="n">
        <v>62</v>
      </c>
      <c r="M24" s="26" t="n">
        <v>8336</v>
      </c>
      <c r="N24" s="26" t="n">
        <v>0</v>
      </c>
      <c r="O24" s="26" t="n">
        <v>186</v>
      </c>
      <c r="P24" s="26" t="n">
        <v>-2</v>
      </c>
      <c r="Q24" s="26" t="n">
        <v>0</v>
      </c>
      <c r="R24" s="26" t="n">
        <v>0</v>
      </c>
      <c r="S24" s="26" t="n">
        <v>632</v>
      </c>
      <c r="T24" s="26" t="n">
        <v>124</v>
      </c>
      <c r="U24" s="26" t="n">
        <v>14929</v>
      </c>
      <c r="V24" s="26" t="n">
        <v>238</v>
      </c>
      <c r="W24" s="26" t="n">
        <v>0</v>
      </c>
      <c r="X24" s="26" t="n">
        <v>50</v>
      </c>
      <c r="Y24" s="26" t="n">
        <v>3196</v>
      </c>
    </row>
    <row r="25">
      <c r="A25" s="26" t="inlineStr">
        <is>
          <t>Område 5: Stadt til Hustadvika</t>
        </is>
      </c>
      <c r="B25" s="26" t="n">
        <v>0</v>
      </c>
      <c r="C25" s="26" t="n">
        <v>335</v>
      </c>
      <c r="D25" s="26" t="n">
        <v>1</v>
      </c>
      <c r="E25" s="26" t="n">
        <v>0</v>
      </c>
      <c r="F25" s="26" t="n">
        <v>0</v>
      </c>
      <c r="G25" s="26" t="n">
        <v>1032</v>
      </c>
      <c r="H25" s="26" t="n">
        <v>315</v>
      </c>
      <c r="I25" s="26" t="n">
        <v>21864</v>
      </c>
      <c r="J25" s="26" t="n">
        <v>3695</v>
      </c>
      <c r="K25" s="26" t="n">
        <v>0</v>
      </c>
      <c r="L25" s="26" t="n">
        <v>48</v>
      </c>
      <c r="M25" s="26" t="n">
        <v>6089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97</v>
      </c>
      <c r="T25" s="26" t="n">
        <v>20</v>
      </c>
      <c r="U25" s="26" t="n">
        <v>1495</v>
      </c>
      <c r="V25" s="26" t="n">
        <v>0</v>
      </c>
      <c r="W25" s="26" t="n">
        <v>0</v>
      </c>
      <c r="X25" s="26" t="n">
        <v>1</v>
      </c>
      <c r="Y25" s="26" t="n">
        <v>486</v>
      </c>
    </row>
    <row r="26">
      <c r="A26" s="26" t="inlineStr">
        <is>
          <t>Område 6: Nordmøre og Sør-Trøndelag</t>
        </is>
      </c>
      <c r="B26" s="26" t="n">
        <v>0</v>
      </c>
      <c r="C26" s="26" t="n">
        <v>1360</v>
      </c>
      <c r="D26" s="26" t="n">
        <v>68</v>
      </c>
      <c r="E26" s="26" t="n">
        <v>4100</v>
      </c>
      <c r="F26" s="26" t="n">
        <v>0</v>
      </c>
      <c r="G26" s="26" t="n">
        <v>1994</v>
      </c>
      <c r="H26" s="26" t="n">
        <v>442</v>
      </c>
      <c r="I26" s="26" t="n">
        <v>54127</v>
      </c>
      <c r="J26" s="26" t="n">
        <v>7502</v>
      </c>
      <c r="K26" s="26" t="n">
        <v>0</v>
      </c>
      <c r="L26" s="26" t="n">
        <v>122</v>
      </c>
      <c r="M26" s="26" t="n">
        <v>17622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17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2314</v>
      </c>
      <c r="D27" s="26" t="n">
        <v>-3</v>
      </c>
      <c r="E27" s="26" t="n">
        <v>1837</v>
      </c>
      <c r="F27" s="26" t="n">
        <v>0</v>
      </c>
      <c r="G27" s="26" t="n">
        <v>770</v>
      </c>
      <c r="H27" s="26" t="n">
        <v>355</v>
      </c>
      <c r="I27" s="26" t="n">
        <v>30876</v>
      </c>
      <c r="J27" s="26" t="n">
        <v>2701</v>
      </c>
      <c r="K27" s="26" t="n">
        <v>0</v>
      </c>
      <c r="L27" s="26" t="n">
        <v>17</v>
      </c>
      <c r="M27" s="26" t="n">
        <v>4333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896</v>
      </c>
      <c r="D28" s="26" t="n">
        <v>11</v>
      </c>
      <c r="E28" s="26" t="n">
        <v>1496</v>
      </c>
      <c r="F28" s="26" t="n">
        <v>0</v>
      </c>
      <c r="G28" s="26" t="n">
        <v>1523</v>
      </c>
      <c r="H28" s="26" t="n">
        <v>179</v>
      </c>
      <c r="I28" s="26" t="n">
        <v>38241</v>
      </c>
      <c r="J28" s="26" t="n">
        <v>5251</v>
      </c>
      <c r="K28" s="26" t="n">
        <v>0</v>
      </c>
      <c r="L28" s="26" t="n">
        <v>43</v>
      </c>
      <c r="M28" s="26" t="n">
        <v>9641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1742</v>
      </c>
      <c r="D29" s="26" t="n">
        <v>18</v>
      </c>
      <c r="E29" s="26" t="n">
        <v>4287</v>
      </c>
      <c r="F29" s="26" t="n">
        <v>0</v>
      </c>
      <c r="G29" s="26" t="n">
        <v>896</v>
      </c>
      <c r="H29" s="26" t="n">
        <v>746</v>
      </c>
      <c r="I29" s="26" t="n">
        <v>33435</v>
      </c>
      <c r="J29" s="26" t="n">
        <v>0</v>
      </c>
      <c r="K29" s="26" t="n">
        <v>0</v>
      </c>
      <c r="L29" s="26" t="n">
        <v>0</v>
      </c>
      <c r="M29" s="26" t="n">
        <v>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1571</v>
      </c>
      <c r="D30" s="26" t="n">
        <v>10</v>
      </c>
      <c r="E30" s="26" t="n">
        <v>5123</v>
      </c>
      <c r="F30" s="26" t="n">
        <v>0</v>
      </c>
      <c r="G30" s="26" t="n">
        <v>130</v>
      </c>
      <c r="H30" s="26" t="n">
        <v>363</v>
      </c>
      <c r="I30" s="26" t="n">
        <v>36066</v>
      </c>
      <c r="J30" s="26" t="n">
        <v>0</v>
      </c>
      <c r="K30" s="26" t="n">
        <v>0</v>
      </c>
      <c r="L30" s="26" t="n">
        <v>0</v>
      </c>
      <c r="M30" s="26" t="n">
        <v>1224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1234</v>
      </c>
      <c r="D31" s="26" t="n">
        <v>-9</v>
      </c>
      <c r="E31" s="26" t="n">
        <v>1734</v>
      </c>
      <c r="F31" s="26" t="n">
        <v>0</v>
      </c>
      <c r="G31" s="26" t="n">
        <v>250</v>
      </c>
      <c r="H31" s="26" t="n">
        <v>119</v>
      </c>
      <c r="I31" s="26" t="n">
        <v>21386</v>
      </c>
      <c r="J31" s="26" t="n">
        <v>1524</v>
      </c>
      <c r="K31" s="26" t="n">
        <v>0</v>
      </c>
      <c r="L31" s="26" t="n">
        <v>14</v>
      </c>
      <c r="M31" s="26" t="n">
        <v>2717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618</v>
      </c>
      <c r="D32" s="26" t="n">
        <v>-20</v>
      </c>
      <c r="E32" s="26" t="n">
        <v>3703</v>
      </c>
      <c r="F32" s="26" t="n">
        <v>0</v>
      </c>
      <c r="G32" s="26" t="n">
        <v>406</v>
      </c>
      <c r="H32" s="26" t="n">
        <v>462</v>
      </c>
      <c r="I32" s="26" t="n">
        <v>29031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47</v>
      </c>
      <c r="D33" s="26" t="n">
        <v>-10</v>
      </c>
      <c r="E33" s="26" t="n">
        <v>0</v>
      </c>
      <c r="F33" s="26" t="n">
        <v>0</v>
      </c>
      <c r="G33" s="26" t="n">
        <v>0</v>
      </c>
      <c r="H33" s="26" t="n">
        <v>3</v>
      </c>
      <c r="I33" s="26" t="n">
        <v>1749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17</v>
      </c>
      <c r="D34" s="26" t="n">
        <v>6</v>
      </c>
      <c r="E34" s="26" t="n">
        <v>268</v>
      </c>
      <c r="F34" s="26" t="n">
        <v>0</v>
      </c>
      <c r="G34" s="26" t="n">
        <v>141</v>
      </c>
      <c r="H34" s="26" t="n">
        <v>38</v>
      </c>
      <c r="I34" s="26" t="n">
        <v>3340</v>
      </c>
      <c r="J34" s="26" t="n">
        <v>730</v>
      </c>
      <c r="K34" s="26" t="n">
        <v>0</v>
      </c>
      <c r="L34" s="26" t="n">
        <v>18</v>
      </c>
      <c r="M34" s="26" t="n">
        <v>1076</v>
      </c>
      <c r="N34" s="26" t="n">
        <v>0</v>
      </c>
      <c r="O34" s="26" t="n">
        <v>0</v>
      </c>
      <c r="P34" s="26" t="n">
        <v>1</v>
      </c>
      <c r="Q34" s="26" t="n">
        <v>257</v>
      </c>
      <c r="R34" s="26" t="n">
        <v>0</v>
      </c>
      <c r="S34" s="26" t="n">
        <v>89</v>
      </c>
      <c r="T34" s="26" t="n">
        <v>3</v>
      </c>
      <c r="U34" s="26" t="n">
        <v>300</v>
      </c>
      <c r="V34" s="26" t="n">
        <v>136</v>
      </c>
      <c r="W34" s="26" t="n">
        <v>0</v>
      </c>
      <c r="X34" s="26" t="n">
        <v>2</v>
      </c>
      <c r="Y34" s="26" t="n">
        <v>395</v>
      </c>
    </row>
    <row r="35">
      <c r="A35" s="27" t="inlineStr">
        <is>
          <t>Totalt</t>
        </is>
      </c>
      <c r="B35" s="27" t="n">
        <v>0</v>
      </c>
      <c r="C35" s="27" t="n">
        <v>11669</v>
      </c>
      <c r="D35" s="27" t="n">
        <v>135</v>
      </c>
      <c r="E35" s="27" t="n">
        <v>24960</v>
      </c>
      <c r="F35" s="27" t="n">
        <v>0</v>
      </c>
      <c r="G35" s="27" t="n">
        <v>12910</v>
      </c>
      <c r="H35" s="27" t="n">
        <v>3702</v>
      </c>
      <c r="I35" s="27" t="n">
        <v>331286</v>
      </c>
      <c r="J35" s="27" t="n">
        <v>28227</v>
      </c>
      <c r="K35" s="27" t="n">
        <v>0</v>
      </c>
      <c r="L35" s="27" t="n">
        <v>460</v>
      </c>
      <c r="M35" s="27" t="n">
        <v>75878</v>
      </c>
      <c r="N35" s="27" t="n">
        <v>0</v>
      </c>
      <c r="O35" s="27" t="n">
        <v>620</v>
      </c>
      <c r="P35" s="27" t="n">
        <v>-7</v>
      </c>
      <c r="Q35" s="27" t="n">
        <v>257</v>
      </c>
      <c r="R35" s="27" t="n">
        <v>0</v>
      </c>
      <c r="S35" s="27" t="n">
        <v>944</v>
      </c>
      <c r="T35" s="27" t="n">
        <v>165</v>
      </c>
      <c r="U35" s="27" t="n">
        <v>20012</v>
      </c>
      <c r="V35" s="27" t="n">
        <v>1083</v>
      </c>
      <c r="W35" s="27" t="n">
        <v>0</v>
      </c>
      <c r="X35" s="27" t="n">
        <v>62</v>
      </c>
      <c r="Y35" s="27" t="n">
        <v>6570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2025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20.08.2026</t>
        </is>
      </c>
    </row>
    <row r="6">
      <c r="A6" s="7" t="n"/>
    </row>
    <row r="8" ht="15.75" customFormat="1" customHeight="1" s="17">
      <c r="A8" s="9" t="inlineStr">
        <is>
          <t>Innrapporterte produksjonstall TOTALT i mai 2025.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mai 2025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35</v>
      </c>
      <c r="I21" s="26" t="n">
        <v>590</v>
      </c>
      <c r="J21" s="26" t="n">
        <v>0</v>
      </c>
      <c r="K21" s="26" t="n">
        <v>0</v>
      </c>
      <c r="L21" s="26" t="n">
        <v>2</v>
      </c>
      <c r="M21" s="26" t="n">
        <v>3101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50</v>
      </c>
      <c r="D22" s="26" t="n">
        <v>7</v>
      </c>
      <c r="E22" s="26" t="n">
        <v>0</v>
      </c>
      <c r="F22" s="26" t="n">
        <v>0</v>
      </c>
      <c r="G22" s="26" t="n">
        <v>1130</v>
      </c>
      <c r="H22" s="26" t="n">
        <v>222</v>
      </c>
      <c r="I22" s="26" t="n">
        <v>17315</v>
      </c>
      <c r="J22" s="26" t="n">
        <v>0</v>
      </c>
      <c r="K22" s="26" t="n">
        <v>0</v>
      </c>
      <c r="L22" s="26" t="n">
        <v>88</v>
      </c>
      <c r="M22" s="26" t="n">
        <v>4459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157</v>
      </c>
      <c r="D23" s="26" t="n">
        <v>15</v>
      </c>
      <c r="E23" s="26" t="n">
        <v>502</v>
      </c>
      <c r="F23" s="26" t="n">
        <v>0</v>
      </c>
      <c r="G23" s="26" t="n">
        <v>3669</v>
      </c>
      <c r="H23" s="26" t="n">
        <v>346</v>
      </c>
      <c r="I23" s="26" t="n">
        <v>19765</v>
      </c>
      <c r="J23" s="26" t="n">
        <v>930</v>
      </c>
      <c r="K23" s="26" t="n">
        <v>29</v>
      </c>
      <c r="L23" s="26" t="n">
        <v>60</v>
      </c>
      <c r="M23" s="26" t="n">
        <v>18653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202</v>
      </c>
      <c r="T23" s="26" t="n">
        <v>36</v>
      </c>
      <c r="U23" s="26" t="n">
        <v>3018</v>
      </c>
      <c r="V23" s="26" t="n">
        <v>160</v>
      </c>
      <c r="W23" s="26" t="n">
        <v>0</v>
      </c>
      <c r="X23" s="26" t="n">
        <v>5</v>
      </c>
      <c r="Y23" s="26" t="n">
        <v>2648</v>
      </c>
    </row>
    <row r="24">
      <c r="A24" s="26" t="inlineStr">
        <is>
          <t>Område 4: Nordhordland til Stadt</t>
        </is>
      </c>
      <c r="B24" s="26" t="n">
        <v>0</v>
      </c>
      <c r="C24" s="26" t="n">
        <v>82</v>
      </c>
      <c r="D24" s="26" t="n">
        <v>15</v>
      </c>
      <c r="E24" s="26" t="n">
        <v>1609</v>
      </c>
      <c r="F24" s="26" t="n">
        <v>0</v>
      </c>
      <c r="G24" s="26" t="n">
        <v>979</v>
      </c>
      <c r="H24" s="26" t="n">
        <v>215</v>
      </c>
      <c r="I24" s="26" t="n">
        <v>16928</v>
      </c>
      <c r="J24" s="26" t="n">
        <v>1377</v>
      </c>
      <c r="K24" s="26" t="n">
        <v>0</v>
      </c>
      <c r="L24" s="26" t="n">
        <v>39</v>
      </c>
      <c r="M24" s="26" t="n">
        <v>10964</v>
      </c>
      <c r="N24" s="26" t="n">
        <v>0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1418</v>
      </c>
      <c r="T24" s="26" t="n">
        <v>86</v>
      </c>
      <c r="U24" s="26" t="n">
        <v>13211</v>
      </c>
      <c r="V24" s="26" t="n">
        <v>208</v>
      </c>
      <c r="W24" s="26" t="n">
        <v>0</v>
      </c>
      <c r="X24" s="26" t="n">
        <v>14</v>
      </c>
      <c r="Y24" s="26" t="n">
        <v>3990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2063</v>
      </c>
      <c r="H25" s="26" t="n">
        <v>283</v>
      </c>
      <c r="I25" s="26" t="n">
        <v>19500</v>
      </c>
      <c r="J25" s="26" t="n">
        <v>618</v>
      </c>
      <c r="K25" s="26" t="n">
        <v>0</v>
      </c>
      <c r="L25" s="26" t="n">
        <v>34</v>
      </c>
      <c r="M25" s="26" t="n">
        <v>6673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165</v>
      </c>
      <c r="T25" s="26" t="n">
        <v>11</v>
      </c>
      <c r="U25" s="26" t="n">
        <v>1315</v>
      </c>
      <c r="V25" s="26" t="n">
        <v>0</v>
      </c>
      <c r="W25" s="26" t="n">
        <v>0</v>
      </c>
      <c r="X25" s="26" t="n">
        <v>2</v>
      </c>
      <c r="Y25" s="26" t="n">
        <v>666</v>
      </c>
    </row>
    <row r="26">
      <c r="A26" s="26" t="inlineStr">
        <is>
          <t>Område 6: Nordmøre og Sør-Trøndelag</t>
        </is>
      </c>
      <c r="B26" s="26" t="n">
        <v>0</v>
      </c>
      <c r="C26" s="26" t="n">
        <v>1932</v>
      </c>
      <c r="D26" s="26" t="n">
        <v>48</v>
      </c>
      <c r="E26" s="26" t="n">
        <v>2112</v>
      </c>
      <c r="F26" s="26" t="n">
        <v>0</v>
      </c>
      <c r="G26" s="26" t="n">
        <v>2825</v>
      </c>
      <c r="H26" s="26" t="n">
        <v>416</v>
      </c>
      <c r="I26" s="26" t="n">
        <v>50809</v>
      </c>
      <c r="J26" s="26" t="n">
        <v>3832</v>
      </c>
      <c r="K26" s="26" t="n">
        <v>0</v>
      </c>
      <c r="L26" s="26" t="n">
        <v>117</v>
      </c>
      <c r="M26" s="26" t="n">
        <v>23980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17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846</v>
      </c>
      <c r="D27" s="26" t="n">
        <v>-30</v>
      </c>
      <c r="E27" s="26" t="n">
        <v>774</v>
      </c>
      <c r="F27" s="26" t="n">
        <v>0</v>
      </c>
      <c r="G27" s="26" t="n">
        <v>685</v>
      </c>
      <c r="H27" s="26" t="n">
        <v>173</v>
      </c>
      <c r="I27" s="26" t="n">
        <v>30165</v>
      </c>
      <c r="J27" s="26" t="n">
        <v>2218</v>
      </c>
      <c r="K27" s="26" t="n">
        <v>0</v>
      </c>
      <c r="L27" s="26" t="n">
        <v>39</v>
      </c>
      <c r="M27" s="26" t="n">
        <v>6512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855</v>
      </c>
      <c r="D28" s="26" t="n">
        <v>5</v>
      </c>
      <c r="E28" s="26" t="n">
        <v>612</v>
      </c>
      <c r="F28" s="26" t="n">
        <v>0</v>
      </c>
      <c r="G28" s="26" t="n">
        <v>2015</v>
      </c>
      <c r="H28" s="26" t="n">
        <v>148</v>
      </c>
      <c r="I28" s="26" t="n">
        <v>36166</v>
      </c>
      <c r="J28" s="26" t="n">
        <v>3160</v>
      </c>
      <c r="K28" s="26" t="n">
        <v>0</v>
      </c>
      <c r="L28" s="26" t="n">
        <v>171</v>
      </c>
      <c r="M28" s="26" t="n">
        <v>15820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2251</v>
      </c>
      <c r="D29" s="26" t="n">
        <v>283</v>
      </c>
      <c r="E29" s="26" t="n">
        <v>1818</v>
      </c>
      <c r="F29" s="26" t="n">
        <v>0</v>
      </c>
      <c r="G29" s="26" t="n">
        <v>1870</v>
      </c>
      <c r="H29" s="26" t="n">
        <v>802</v>
      </c>
      <c r="I29" s="26" t="n">
        <v>30656</v>
      </c>
      <c r="J29" s="26" t="n">
        <v>11073</v>
      </c>
      <c r="K29" s="26" t="n">
        <v>104</v>
      </c>
      <c r="L29" s="26" t="n">
        <v>319</v>
      </c>
      <c r="M29" s="26" t="n">
        <v>12566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1961</v>
      </c>
      <c r="D30" s="26" t="n">
        <v>49</v>
      </c>
      <c r="E30" s="26" t="n">
        <v>3062</v>
      </c>
      <c r="F30" s="26" t="n">
        <v>0</v>
      </c>
      <c r="G30" s="26" t="n">
        <v>524</v>
      </c>
      <c r="H30" s="26" t="n">
        <v>842</v>
      </c>
      <c r="I30" s="26" t="n">
        <v>34702</v>
      </c>
      <c r="J30" s="26" t="n">
        <v>6030</v>
      </c>
      <c r="K30" s="26" t="n">
        <v>0</v>
      </c>
      <c r="L30" s="26" t="n">
        <v>441</v>
      </c>
      <c r="M30" s="26" t="n">
        <v>10320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1038</v>
      </c>
      <c r="D31" s="26" t="n">
        <v>10</v>
      </c>
      <c r="E31" s="26" t="n">
        <v>683</v>
      </c>
      <c r="F31" s="26" t="n">
        <v>0</v>
      </c>
      <c r="G31" s="26" t="n">
        <v>176</v>
      </c>
      <c r="H31" s="26" t="n">
        <v>102</v>
      </c>
      <c r="I31" s="26" t="n">
        <v>21115</v>
      </c>
      <c r="J31" s="26" t="n">
        <v>5168</v>
      </c>
      <c r="K31" s="26" t="n">
        <v>0</v>
      </c>
      <c r="L31" s="26" t="n">
        <v>155</v>
      </c>
      <c r="M31" s="26" t="n">
        <v>8443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780</v>
      </c>
      <c r="D32" s="26" t="n">
        <v>-6</v>
      </c>
      <c r="E32" s="26" t="n">
        <v>2890</v>
      </c>
      <c r="F32" s="26" t="n">
        <v>0</v>
      </c>
      <c r="G32" s="26" t="n">
        <v>66</v>
      </c>
      <c r="H32" s="26" t="n">
        <v>291</v>
      </c>
      <c r="I32" s="26" t="n">
        <v>28649</v>
      </c>
      <c r="J32" s="26" t="n">
        <v>14818</v>
      </c>
      <c r="K32" s="26" t="n">
        <v>0</v>
      </c>
      <c r="L32" s="26" t="n">
        <v>291</v>
      </c>
      <c r="M32" s="26" t="n">
        <v>16835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3</v>
      </c>
      <c r="I33" s="26" t="n">
        <v>1746</v>
      </c>
      <c r="J33" s="26" t="n">
        <v>388</v>
      </c>
      <c r="K33" s="26" t="n">
        <v>0</v>
      </c>
      <c r="L33" s="26" t="n">
        <v>5</v>
      </c>
      <c r="M33" s="26" t="n">
        <v>972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89</v>
      </c>
      <c r="D34" s="26" t="n">
        <v>7</v>
      </c>
      <c r="E34" s="26" t="n">
        <v>135</v>
      </c>
      <c r="F34" s="26" t="n">
        <v>0</v>
      </c>
      <c r="G34" s="26" t="n">
        <v>115</v>
      </c>
      <c r="H34" s="26" t="n">
        <v>28</v>
      </c>
      <c r="I34" s="26" t="n">
        <v>3196</v>
      </c>
      <c r="J34" s="26" t="n">
        <v>799</v>
      </c>
      <c r="K34" s="26" t="n">
        <v>0</v>
      </c>
      <c r="L34" s="26" t="n">
        <v>10</v>
      </c>
      <c r="M34" s="26" t="n">
        <v>1878</v>
      </c>
      <c r="N34" s="26" t="n">
        <v>0</v>
      </c>
      <c r="O34" s="26" t="n">
        <v>0</v>
      </c>
      <c r="P34" s="26" t="n">
        <v>4</v>
      </c>
      <c r="Q34" s="26" t="n">
        <v>253</v>
      </c>
      <c r="R34" s="26" t="n">
        <v>0</v>
      </c>
      <c r="S34" s="26" t="n">
        <v>0</v>
      </c>
      <c r="T34" s="26" t="n">
        <v>2</v>
      </c>
      <c r="U34" s="26" t="n">
        <v>298</v>
      </c>
      <c r="V34" s="26" t="n">
        <v>0</v>
      </c>
      <c r="W34" s="26" t="n">
        <v>0</v>
      </c>
      <c r="X34" s="26" t="n">
        <v>1</v>
      </c>
      <c r="Y34" s="26" t="n">
        <v>394</v>
      </c>
    </row>
    <row r="35">
      <c r="A35" s="27" t="inlineStr">
        <is>
          <t>Totalt</t>
        </is>
      </c>
      <c r="B35" s="27" t="n">
        <v>0</v>
      </c>
      <c r="C35" s="27" t="n">
        <v>10042</v>
      </c>
      <c r="D35" s="27" t="n">
        <v>403</v>
      </c>
      <c r="E35" s="27" t="n">
        <v>14198</v>
      </c>
      <c r="F35" s="27" t="n">
        <v>0</v>
      </c>
      <c r="G35" s="27" t="n">
        <v>16117</v>
      </c>
      <c r="H35" s="27" t="n">
        <v>3905</v>
      </c>
      <c r="I35" s="27" t="n">
        <v>311302</v>
      </c>
      <c r="J35" s="27" t="n">
        <v>50410</v>
      </c>
      <c r="K35" s="27" t="n">
        <v>134</v>
      </c>
      <c r="L35" s="27" t="n">
        <v>1771</v>
      </c>
      <c r="M35" s="27" t="n">
        <v>141176</v>
      </c>
      <c r="N35" s="27" t="n">
        <v>0</v>
      </c>
      <c r="O35" s="27" t="n">
        <v>0</v>
      </c>
      <c r="P35" s="27" t="n">
        <v>4</v>
      </c>
      <c r="Q35" s="27" t="n">
        <v>253</v>
      </c>
      <c r="R35" s="27" t="n">
        <v>0</v>
      </c>
      <c r="S35" s="27" t="n">
        <v>1785</v>
      </c>
      <c r="T35" s="27" t="n">
        <v>136</v>
      </c>
      <c r="U35" s="27" t="n">
        <v>17858</v>
      </c>
      <c r="V35" s="27" t="n">
        <v>368</v>
      </c>
      <c r="W35" s="27" t="n">
        <v>0</v>
      </c>
      <c r="X35" s="27" t="n">
        <v>22</v>
      </c>
      <c r="Y35" s="27" t="n">
        <v>7699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2025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20.08.2026</t>
        </is>
      </c>
    </row>
    <row r="6">
      <c r="A6" s="7" t="n"/>
    </row>
    <row r="8" ht="15.75" customFormat="1" customHeight="1" s="17">
      <c r="A8" s="9" t="inlineStr">
        <is>
          <t>Innrapporterte produksjonstall TOTALT i juni 2025.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juni 2025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1</v>
      </c>
      <c r="I21" s="26" t="n">
        <v>589</v>
      </c>
      <c r="J21" s="26" t="n">
        <v>0</v>
      </c>
      <c r="K21" s="26" t="n">
        <v>0</v>
      </c>
      <c r="L21" s="26" t="n">
        <v>3</v>
      </c>
      <c r="M21" s="26" t="n">
        <v>3946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2375</v>
      </c>
      <c r="H22" s="26" t="n">
        <v>317</v>
      </c>
      <c r="I22" s="26" t="n">
        <v>14657</v>
      </c>
      <c r="J22" s="26" t="n">
        <v>598</v>
      </c>
      <c r="K22" s="26" t="n">
        <v>0</v>
      </c>
      <c r="L22" s="26" t="n">
        <v>51</v>
      </c>
      <c r="M22" s="26" t="n">
        <v>6207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57</v>
      </c>
      <c r="D23" s="26" t="n">
        <v>0</v>
      </c>
      <c r="E23" s="26" t="n">
        <v>440</v>
      </c>
      <c r="F23" s="26" t="n">
        <v>0</v>
      </c>
      <c r="G23" s="26" t="n">
        <v>3163</v>
      </c>
      <c r="H23" s="26" t="n">
        <v>300</v>
      </c>
      <c r="I23" s="26" t="n">
        <v>16881</v>
      </c>
      <c r="J23" s="26" t="n">
        <v>2005</v>
      </c>
      <c r="K23" s="26" t="n">
        <v>2</v>
      </c>
      <c r="L23" s="26" t="n">
        <v>57</v>
      </c>
      <c r="M23" s="26" t="n">
        <v>22306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35</v>
      </c>
      <c r="U23" s="26" t="n">
        <v>2983</v>
      </c>
      <c r="V23" s="26" t="n">
        <v>1017</v>
      </c>
      <c r="W23" s="26" t="n">
        <v>0</v>
      </c>
      <c r="X23" s="26" t="n">
        <v>25</v>
      </c>
      <c r="Y23" s="26" t="n">
        <v>3640</v>
      </c>
    </row>
    <row r="24">
      <c r="A24" s="26" t="inlineStr">
        <is>
          <t>Område 4: Nordhordland til Stadt</t>
        </is>
      </c>
      <c r="B24" s="26" t="n">
        <v>0</v>
      </c>
      <c r="C24" s="26" t="n">
        <v>18</v>
      </c>
      <c r="D24" s="26" t="n">
        <v>6</v>
      </c>
      <c r="E24" s="26" t="n">
        <v>1098</v>
      </c>
      <c r="F24" s="26" t="n">
        <v>0</v>
      </c>
      <c r="G24" s="26" t="n">
        <v>1296</v>
      </c>
      <c r="H24" s="26" t="n">
        <v>290</v>
      </c>
      <c r="I24" s="26" t="n">
        <v>15839</v>
      </c>
      <c r="J24" s="26" t="n">
        <v>1098</v>
      </c>
      <c r="K24" s="26" t="n">
        <v>0</v>
      </c>
      <c r="L24" s="26" t="n">
        <v>53</v>
      </c>
      <c r="M24" s="26" t="n">
        <v>12831</v>
      </c>
      <c r="N24" s="26" t="n">
        <v>0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1609</v>
      </c>
      <c r="T24" s="26" t="n">
        <v>60</v>
      </c>
      <c r="U24" s="26" t="n">
        <v>11520</v>
      </c>
      <c r="V24" s="26" t="n">
        <v>0</v>
      </c>
      <c r="W24" s="26" t="n">
        <v>0</v>
      </c>
      <c r="X24" s="26" t="n">
        <v>13</v>
      </c>
      <c r="Y24" s="26" t="n">
        <v>4337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3010</v>
      </c>
      <c r="H25" s="26" t="n">
        <v>236</v>
      </c>
      <c r="I25" s="26" t="n">
        <v>16150</v>
      </c>
      <c r="J25" s="26" t="n">
        <v>1074</v>
      </c>
      <c r="K25" s="26" t="n">
        <v>0</v>
      </c>
      <c r="L25" s="26" t="n">
        <v>25</v>
      </c>
      <c r="M25" s="26" t="n">
        <v>9485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163</v>
      </c>
      <c r="T25" s="26" t="n">
        <v>-1</v>
      </c>
      <c r="U25" s="26" t="n">
        <v>1144</v>
      </c>
      <c r="V25" s="26" t="n">
        <v>0</v>
      </c>
      <c r="W25" s="26" t="n">
        <v>0</v>
      </c>
      <c r="X25" s="26" t="n">
        <v>5</v>
      </c>
      <c r="Y25" s="26" t="n">
        <v>910</v>
      </c>
    </row>
    <row r="26">
      <c r="A26" s="26" t="inlineStr">
        <is>
          <t>Område 6: Nordmøre og Sør-Trøndelag</t>
        </is>
      </c>
      <c r="B26" s="26" t="n">
        <v>0</v>
      </c>
      <c r="C26" s="26" t="n">
        <v>1249</v>
      </c>
      <c r="D26" s="26" t="n">
        <v>44</v>
      </c>
      <c r="E26" s="26" t="n">
        <v>817</v>
      </c>
      <c r="F26" s="26" t="n">
        <v>0</v>
      </c>
      <c r="G26" s="26" t="n">
        <v>3702</v>
      </c>
      <c r="H26" s="26" t="n">
        <v>329</v>
      </c>
      <c r="I26" s="26" t="n">
        <v>46728</v>
      </c>
      <c r="J26" s="26" t="n">
        <v>3685</v>
      </c>
      <c r="K26" s="26" t="n">
        <v>0</v>
      </c>
      <c r="L26" s="26" t="n">
        <v>201</v>
      </c>
      <c r="M26" s="26" t="n">
        <v>27845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17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575</v>
      </c>
      <c r="D27" s="26" t="n">
        <v>17</v>
      </c>
      <c r="E27" s="26" t="n">
        <v>186</v>
      </c>
      <c r="F27" s="26" t="n">
        <v>0</v>
      </c>
      <c r="G27" s="26" t="n">
        <v>1572</v>
      </c>
      <c r="H27" s="26" t="n">
        <v>124</v>
      </c>
      <c r="I27" s="26" t="n">
        <v>28885</v>
      </c>
      <c r="J27" s="26" t="n">
        <v>1538</v>
      </c>
      <c r="K27" s="26" t="n">
        <v>0</v>
      </c>
      <c r="L27" s="26" t="n">
        <v>36</v>
      </c>
      <c r="M27" s="26" t="n">
        <v>8161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601</v>
      </c>
      <c r="D28" s="26" t="n">
        <v>16</v>
      </c>
      <c r="E28" s="26" t="n">
        <v>0</v>
      </c>
      <c r="F28" s="26" t="n">
        <v>0</v>
      </c>
      <c r="G28" s="26" t="n">
        <v>2494</v>
      </c>
      <c r="H28" s="26" t="n">
        <v>127</v>
      </c>
      <c r="I28" s="26" t="n">
        <v>33497</v>
      </c>
      <c r="J28" s="26" t="n">
        <v>1356</v>
      </c>
      <c r="K28" s="26" t="n">
        <v>0</v>
      </c>
      <c r="L28" s="26" t="n">
        <v>183</v>
      </c>
      <c r="M28" s="26" t="n">
        <v>20294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867</v>
      </c>
      <c r="D29" s="26" t="n">
        <v>-8</v>
      </c>
      <c r="E29" s="26" t="n">
        <v>924</v>
      </c>
      <c r="F29" s="26" t="n">
        <v>0</v>
      </c>
      <c r="G29" s="26" t="n">
        <v>1773</v>
      </c>
      <c r="H29" s="26" t="n">
        <v>3608</v>
      </c>
      <c r="I29" s="26" t="n">
        <v>25224</v>
      </c>
      <c r="J29" s="26" t="n">
        <v>1261</v>
      </c>
      <c r="K29" s="26" t="n">
        <v>0</v>
      </c>
      <c r="L29" s="26" t="n">
        <v>53</v>
      </c>
      <c r="M29" s="26" t="n">
        <v>14469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2293</v>
      </c>
      <c r="D30" s="26" t="n">
        <v>-57</v>
      </c>
      <c r="E30" s="26" t="n">
        <v>672</v>
      </c>
      <c r="F30" s="26" t="n">
        <v>0</v>
      </c>
      <c r="G30" s="26" t="n">
        <v>986</v>
      </c>
      <c r="H30" s="26" t="n">
        <v>535</v>
      </c>
      <c r="I30" s="26" t="n">
        <v>33264</v>
      </c>
      <c r="J30" s="26" t="n">
        <v>4283</v>
      </c>
      <c r="K30" s="26" t="n">
        <v>0</v>
      </c>
      <c r="L30" s="26" t="n">
        <v>72</v>
      </c>
      <c r="M30" s="26" t="n">
        <v>13941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390</v>
      </c>
      <c r="D31" s="26" t="n">
        <v>22</v>
      </c>
      <c r="E31" s="26" t="n">
        <v>309</v>
      </c>
      <c r="F31" s="26" t="n">
        <v>0</v>
      </c>
      <c r="G31" s="26" t="n">
        <v>563</v>
      </c>
      <c r="H31" s="26" t="n">
        <v>164</v>
      </c>
      <c r="I31" s="26" t="n">
        <v>20423</v>
      </c>
      <c r="J31" s="26" t="n">
        <v>1109</v>
      </c>
      <c r="K31" s="26" t="n">
        <v>0</v>
      </c>
      <c r="L31" s="26" t="n">
        <v>163</v>
      </c>
      <c r="M31" s="26" t="n">
        <v>9388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896</v>
      </c>
      <c r="D32" s="26" t="n">
        <v>7</v>
      </c>
      <c r="E32" s="26" t="n">
        <v>1976</v>
      </c>
      <c r="F32" s="26" t="n">
        <v>0</v>
      </c>
      <c r="G32" s="26" t="n">
        <v>129</v>
      </c>
      <c r="H32" s="26" t="n">
        <v>183</v>
      </c>
      <c r="I32" s="26" t="n">
        <v>28317</v>
      </c>
      <c r="J32" s="26" t="n">
        <v>3156</v>
      </c>
      <c r="K32" s="26" t="n">
        <v>0</v>
      </c>
      <c r="L32" s="26" t="n">
        <v>210</v>
      </c>
      <c r="M32" s="26" t="n">
        <v>20932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282</v>
      </c>
      <c r="H33" s="26" t="n">
        <v>4</v>
      </c>
      <c r="I33" s="26" t="n">
        <v>1459</v>
      </c>
      <c r="J33" s="26" t="n">
        <v>0</v>
      </c>
      <c r="K33" s="26" t="n">
        <v>0</v>
      </c>
      <c r="L33" s="26" t="n">
        <v>6</v>
      </c>
      <c r="M33" s="26" t="n">
        <v>1326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56</v>
      </c>
      <c r="D34" s="26" t="n">
        <v>-6</v>
      </c>
      <c r="E34" s="26" t="n">
        <v>46</v>
      </c>
      <c r="F34" s="26" t="n">
        <v>0</v>
      </c>
      <c r="G34" s="26" t="n">
        <v>302</v>
      </c>
      <c r="H34" s="26" t="n">
        <v>17</v>
      </c>
      <c r="I34" s="26" t="n">
        <v>2874</v>
      </c>
      <c r="J34" s="26" t="n">
        <v>2824</v>
      </c>
      <c r="K34" s="26" t="n">
        <v>0</v>
      </c>
      <c r="L34" s="26" t="n">
        <v>32</v>
      </c>
      <c r="M34" s="26" t="n">
        <v>5294</v>
      </c>
      <c r="N34" s="26" t="n">
        <v>0</v>
      </c>
      <c r="O34" s="26" t="n">
        <v>0</v>
      </c>
      <c r="P34" s="26" t="n">
        <v>2</v>
      </c>
      <c r="Q34" s="26" t="n">
        <v>251</v>
      </c>
      <c r="R34" s="26" t="n">
        <v>0</v>
      </c>
      <c r="S34" s="26" t="n">
        <v>38</v>
      </c>
      <c r="T34" s="26" t="n">
        <v>2</v>
      </c>
      <c r="U34" s="26" t="n">
        <v>255</v>
      </c>
      <c r="V34" s="26" t="n">
        <v>0</v>
      </c>
      <c r="W34" s="26" t="n">
        <v>0</v>
      </c>
      <c r="X34" s="26" t="n">
        <v>1</v>
      </c>
      <c r="Y34" s="26" t="n">
        <v>394</v>
      </c>
    </row>
    <row r="35">
      <c r="A35" s="27" t="inlineStr">
        <is>
          <t>Totalt</t>
        </is>
      </c>
      <c r="B35" s="27" t="n">
        <v>0</v>
      </c>
      <c r="C35" s="27" t="n">
        <v>7003</v>
      </c>
      <c r="D35" s="27" t="n">
        <v>40</v>
      </c>
      <c r="E35" s="27" t="n">
        <v>6470</v>
      </c>
      <c r="F35" s="27" t="n">
        <v>0</v>
      </c>
      <c r="G35" s="27" t="n">
        <v>21648</v>
      </c>
      <c r="H35" s="27" t="n">
        <v>6232</v>
      </c>
      <c r="I35" s="27" t="n">
        <v>284788</v>
      </c>
      <c r="J35" s="27" t="n">
        <v>23987</v>
      </c>
      <c r="K35" s="27" t="n">
        <v>2</v>
      </c>
      <c r="L35" s="27" t="n">
        <v>1144</v>
      </c>
      <c r="M35" s="27" t="n">
        <v>176424</v>
      </c>
      <c r="N35" s="27" t="n">
        <v>0</v>
      </c>
      <c r="O35" s="27" t="n">
        <v>0</v>
      </c>
      <c r="P35" s="27" t="n">
        <v>2</v>
      </c>
      <c r="Q35" s="27" t="n">
        <v>251</v>
      </c>
      <c r="R35" s="27" t="n">
        <v>0</v>
      </c>
      <c r="S35" s="27" t="n">
        <v>1810</v>
      </c>
      <c r="T35" s="27" t="n">
        <v>97</v>
      </c>
      <c r="U35" s="27" t="n">
        <v>15918</v>
      </c>
      <c r="V35" s="27" t="n">
        <v>1017</v>
      </c>
      <c r="W35" s="27" t="n">
        <v>0</v>
      </c>
      <c r="X35" s="27" t="n">
        <v>44</v>
      </c>
      <c r="Y35" s="27" t="n">
        <v>9280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2025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20.08.2026</t>
        </is>
      </c>
    </row>
    <row r="6">
      <c r="A6" s="7" t="n"/>
    </row>
    <row r="8" ht="15.75" customFormat="1" customHeight="1" s="17">
      <c r="A8" s="9" t="inlineStr">
        <is>
          <t>Innrapporterte produksjonstall TOTALT i juli 2025.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juli 2025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3</v>
      </c>
      <c r="I21" s="26" t="n">
        <v>586</v>
      </c>
      <c r="J21" s="26" t="n">
        <v>169</v>
      </c>
      <c r="K21" s="26" t="n">
        <v>0</v>
      </c>
      <c r="L21" s="26" t="n">
        <v>12</v>
      </c>
      <c r="M21" s="26" t="n">
        <v>5718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2522</v>
      </c>
      <c r="H22" s="26" t="n">
        <v>340</v>
      </c>
      <c r="I22" s="26" t="n">
        <v>11771</v>
      </c>
      <c r="J22" s="26" t="n">
        <v>0</v>
      </c>
      <c r="K22" s="26" t="n">
        <v>0</v>
      </c>
      <c r="L22" s="26" t="n">
        <v>59</v>
      </c>
      <c r="M22" s="26" t="n">
        <v>7284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0</v>
      </c>
      <c r="D23" s="26" t="n">
        <v>3</v>
      </c>
      <c r="E23" s="26" t="n">
        <v>437</v>
      </c>
      <c r="F23" s="26" t="n">
        <v>0</v>
      </c>
      <c r="G23" s="26" t="n">
        <v>3452</v>
      </c>
      <c r="H23" s="26" t="n">
        <v>338</v>
      </c>
      <c r="I23" s="26" t="n">
        <v>13659</v>
      </c>
      <c r="J23" s="26" t="n">
        <v>249</v>
      </c>
      <c r="K23" s="26" t="n">
        <v>0</v>
      </c>
      <c r="L23" s="26" t="n">
        <v>149</v>
      </c>
      <c r="M23" s="26" t="n">
        <v>22252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256</v>
      </c>
      <c r="T23" s="26" t="n">
        <v>55</v>
      </c>
      <c r="U23" s="26" t="n">
        <v>2664</v>
      </c>
      <c r="V23" s="26" t="n">
        <v>479</v>
      </c>
      <c r="W23" s="26" t="n">
        <v>0</v>
      </c>
      <c r="X23" s="26" t="n">
        <v>66</v>
      </c>
      <c r="Y23" s="26" t="n">
        <v>4406</v>
      </c>
    </row>
    <row r="24">
      <c r="A24" s="26" t="inlineStr">
        <is>
          <t>Område 4: Nordhordland til Stadt</t>
        </is>
      </c>
      <c r="B24" s="26" t="n">
        <v>0</v>
      </c>
      <c r="C24" s="26" t="n">
        <v>0</v>
      </c>
      <c r="D24" s="26" t="n">
        <v>4</v>
      </c>
      <c r="E24" s="26" t="n">
        <v>1094</v>
      </c>
      <c r="F24" s="26" t="n">
        <v>0</v>
      </c>
      <c r="G24" s="26" t="n">
        <v>1570</v>
      </c>
      <c r="H24" s="26" t="n">
        <v>244</v>
      </c>
      <c r="I24" s="26" t="n">
        <v>13880</v>
      </c>
      <c r="J24" s="26" t="n">
        <v>2776</v>
      </c>
      <c r="K24" s="26" t="n">
        <v>0</v>
      </c>
      <c r="L24" s="26" t="n">
        <v>72</v>
      </c>
      <c r="M24" s="26" t="n">
        <v>15686</v>
      </c>
      <c r="N24" s="26" t="n">
        <v>0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2164</v>
      </c>
      <c r="T24" s="26" t="n">
        <v>115</v>
      </c>
      <c r="U24" s="26" t="n">
        <v>9284</v>
      </c>
      <c r="V24" s="26" t="n">
        <v>1068</v>
      </c>
      <c r="W24" s="26" t="n">
        <v>2</v>
      </c>
      <c r="X24" s="26" t="n">
        <v>62</v>
      </c>
      <c r="Y24" s="26" t="n">
        <v>5847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4119</v>
      </c>
      <c r="H25" s="26" t="n">
        <v>379</v>
      </c>
      <c r="I25" s="26" t="n">
        <v>11612</v>
      </c>
      <c r="J25" s="26" t="n">
        <v>69</v>
      </c>
      <c r="K25" s="26" t="n">
        <v>0</v>
      </c>
      <c r="L25" s="26" t="n">
        <v>33</v>
      </c>
      <c r="M25" s="26" t="n">
        <v>9566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313</v>
      </c>
      <c r="T25" s="26" t="n">
        <v>8</v>
      </c>
      <c r="U25" s="26" t="n">
        <v>819</v>
      </c>
      <c r="V25" s="26" t="n">
        <v>0</v>
      </c>
      <c r="W25" s="26" t="n">
        <v>0</v>
      </c>
      <c r="X25" s="26" t="n">
        <v>8</v>
      </c>
      <c r="Y25" s="26" t="n">
        <v>924</v>
      </c>
    </row>
    <row r="26">
      <c r="A26" s="26" t="inlineStr">
        <is>
          <t>Område 6: Nordmøre og Sør-Trøndelag</t>
        </is>
      </c>
      <c r="B26" s="26" t="n">
        <v>0</v>
      </c>
      <c r="C26" s="26" t="n">
        <v>481</v>
      </c>
      <c r="D26" s="26" t="n">
        <v>19</v>
      </c>
      <c r="E26" s="26" t="n">
        <v>316</v>
      </c>
      <c r="F26" s="26" t="n">
        <v>0</v>
      </c>
      <c r="G26" s="26" t="n">
        <v>4929</v>
      </c>
      <c r="H26" s="26" t="n">
        <v>670</v>
      </c>
      <c r="I26" s="26" t="n">
        <v>40935</v>
      </c>
      <c r="J26" s="26" t="n">
        <v>5055</v>
      </c>
      <c r="K26" s="26" t="n">
        <v>0</v>
      </c>
      <c r="L26" s="26" t="n">
        <v>226</v>
      </c>
      <c r="M26" s="26" t="n">
        <v>35128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1</v>
      </c>
      <c r="U26" s="26" t="n">
        <v>16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181</v>
      </c>
      <c r="D27" s="26" t="n">
        <v>5</v>
      </c>
      <c r="E27" s="26" t="n">
        <v>0</v>
      </c>
      <c r="F27" s="26" t="n">
        <v>0</v>
      </c>
      <c r="G27" s="26" t="n">
        <v>2470</v>
      </c>
      <c r="H27" s="26" t="n">
        <v>142</v>
      </c>
      <c r="I27" s="26" t="n">
        <v>26146</v>
      </c>
      <c r="J27" s="26" t="n">
        <v>2448</v>
      </c>
      <c r="K27" s="26" t="n">
        <v>0</v>
      </c>
      <c r="L27" s="26" t="n">
        <v>32</v>
      </c>
      <c r="M27" s="26" t="n">
        <v>10576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4279</v>
      </c>
      <c r="H28" s="26" t="n">
        <v>250</v>
      </c>
      <c r="I28" s="26" t="n">
        <v>29000</v>
      </c>
      <c r="J28" s="26" t="n">
        <v>290</v>
      </c>
      <c r="K28" s="26" t="n">
        <v>0</v>
      </c>
      <c r="L28" s="26" t="n">
        <v>63</v>
      </c>
      <c r="M28" s="26" t="n">
        <v>21348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135</v>
      </c>
      <c r="D29" s="26" t="n">
        <v>6</v>
      </c>
      <c r="E29" s="26" t="n">
        <v>789</v>
      </c>
      <c r="F29" s="26" t="n">
        <v>0</v>
      </c>
      <c r="G29" s="26" t="n">
        <v>2033</v>
      </c>
      <c r="H29" s="26" t="n">
        <v>82</v>
      </c>
      <c r="I29" s="26" t="n">
        <v>23076</v>
      </c>
      <c r="J29" s="26" t="n">
        <v>3429</v>
      </c>
      <c r="K29" s="26" t="n">
        <v>0</v>
      </c>
      <c r="L29" s="26" t="n">
        <v>86</v>
      </c>
      <c r="M29" s="26" t="n">
        <v>17813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531</v>
      </c>
      <c r="D30" s="26" t="n">
        <v>-3</v>
      </c>
      <c r="E30" s="26" t="n">
        <v>126</v>
      </c>
      <c r="F30" s="26" t="n">
        <v>0</v>
      </c>
      <c r="G30" s="26" t="n">
        <v>2335</v>
      </c>
      <c r="H30" s="26" t="n">
        <v>1929</v>
      </c>
      <c r="I30" s="26" t="n">
        <v>29001</v>
      </c>
      <c r="J30" s="26" t="n">
        <v>866</v>
      </c>
      <c r="K30" s="26" t="n">
        <v>0</v>
      </c>
      <c r="L30" s="26" t="n">
        <v>39</v>
      </c>
      <c r="M30" s="26" t="n">
        <v>14768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190</v>
      </c>
      <c r="D31" s="26" t="n">
        <v>2</v>
      </c>
      <c r="E31" s="26" t="n">
        <v>119</v>
      </c>
      <c r="F31" s="26" t="n">
        <v>0</v>
      </c>
      <c r="G31" s="26" t="n">
        <v>2252</v>
      </c>
      <c r="H31" s="26" t="n">
        <v>96</v>
      </c>
      <c r="I31" s="26" t="n">
        <v>17995</v>
      </c>
      <c r="J31" s="26" t="n">
        <v>2815</v>
      </c>
      <c r="K31" s="26" t="n">
        <v>0</v>
      </c>
      <c r="L31" s="26" t="n">
        <v>25</v>
      </c>
      <c r="M31" s="26" t="n">
        <v>12902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947</v>
      </c>
      <c r="D32" s="26" t="n">
        <v>-20</v>
      </c>
      <c r="E32" s="26" t="n">
        <v>986</v>
      </c>
      <c r="F32" s="26" t="n">
        <v>0</v>
      </c>
      <c r="G32" s="26" t="n">
        <v>1269</v>
      </c>
      <c r="H32" s="26" t="n">
        <v>139</v>
      </c>
      <c r="I32" s="26" t="n">
        <v>26842</v>
      </c>
      <c r="J32" s="26" t="n">
        <v>3636</v>
      </c>
      <c r="K32" s="26" t="n">
        <v>0</v>
      </c>
      <c r="L32" s="26" t="n">
        <v>62</v>
      </c>
      <c r="M32" s="26" t="n">
        <v>24506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422</v>
      </c>
      <c r="H33" s="26" t="n">
        <v>-1</v>
      </c>
      <c r="I33" s="26" t="n">
        <v>1028</v>
      </c>
      <c r="J33" s="26" t="n">
        <v>1193</v>
      </c>
      <c r="K33" s="26" t="n">
        <v>0</v>
      </c>
      <c r="L33" s="26" t="n">
        <v>2</v>
      </c>
      <c r="M33" s="26" t="n">
        <v>2517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2</v>
      </c>
      <c r="D34" s="26" t="n">
        <v>1</v>
      </c>
      <c r="E34" s="26" t="n">
        <v>44</v>
      </c>
      <c r="F34" s="26" t="n">
        <v>0</v>
      </c>
      <c r="G34" s="26" t="n">
        <v>119</v>
      </c>
      <c r="H34" s="26" t="n">
        <v>40</v>
      </c>
      <c r="I34" s="26" t="n">
        <v>2719</v>
      </c>
      <c r="J34" s="26" t="n">
        <v>1466</v>
      </c>
      <c r="K34" s="26" t="n">
        <v>0</v>
      </c>
      <c r="L34" s="26" t="n">
        <v>23</v>
      </c>
      <c r="M34" s="26" t="n">
        <v>7044</v>
      </c>
      <c r="N34" s="26" t="n">
        <v>0</v>
      </c>
      <c r="O34" s="26" t="n">
        <v>0</v>
      </c>
      <c r="P34" s="26" t="n">
        <v>6</v>
      </c>
      <c r="Q34" s="26" t="n">
        <v>245</v>
      </c>
      <c r="R34" s="26" t="n">
        <v>0</v>
      </c>
      <c r="S34" s="26" t="n">
        <v>0</v>
      </c>
      <c r="T34" s="26" t="n">
        <v>4</v>
      </c>
      <c r="U34" s="26" t="n">
        <v>251</v>
      </c>
      <c r="V34" s="26" t="n">
        <v>0</v>
      </c>
      <c r="W34" s="26" t="n">
        <v>0</v>
      </c>
      <c r="X34" s="26" t="n">
        <v>3</v>
      </c>
      <c r="Y34" s="26" t="n">
        <v>391</v>
      </c>
    </row>
    <row r="35">
      <c r="A35" s="27" t="inlineStr">
        <is>
          <t>Totalt</t>
        </is>
      </c>
      <c r="B35" s="27" t="n">
        <v>0</v>
      </c>
      <c r="C35" s="27" t="n">
        <v>2466</v>
      </c>
      <c r="D35" s="27" t="n">
        <v>17</v>
      </c>
      <c r="E35" s="27" t="n">
        <v>3912</v>
      </c>
      <c r="F35" s="27" t="n">
        <v>0</v>
      </c>
      <c r="G35" s="27" t="n">
        <v>31770</v>
      </c>
      <c r="H35" s="27" t="n">
        <v>4651</v>
      </c>
      <c r="I35" s="27" t="n">
        <v>248250</v>
      </c>
      <c r="J35" s="27" t="n">
        <v>24461</v>
      </c>
      <c r="K35" s="27" t="n">
        <v>0</v>
      </c>
      <c r="L35" s="27" t="n">
        <v>883</v>
      </c>
      <c r="M35" s="27" t="n">
        <v>207109</v>
      </c>
      <c r="N35" s="27" t="n">
        <v>0</v>
      </c>
      <c r="O35" s="27" t="n">
        <v>0</v>
      </c>
      <c r="P35" s="27" t="n">
        <v>6</v>
      </c>
      <c r="Q35" s="27" t="n">
        <v>245</v>
      </c>
      <c r="R35" s="27" t="n">
        <v>0</v>
      </c>
      <c r="S35" s="27" t="n">
        <v>2733</v>
      </c>
      <c r="T35" s="27" t="n">
        <v>183</v>
      </c>
      <c r="U35" s="27" t="n">
        <v>13035</v>
      </c>
      <c r="V35" s="27" t="n">
        <v>1547</v>
      </c>
      <c r="W35" s="27" t="n">
        <v>2</v>
      </c>
      <c r="X35" s="27" t="n">
        <v>138</v>
      </c>
      <c r="Y35" s="27" t="n">
        <v>11568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2025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20.08.2026</t>
        </is>
      </c>
    </row>
    <row r="6">
      <c r="A6" s="7" t="n"/>
    </row>
    <row r="8" ht="15.75" customFormat="1" customHeight="1" s="17">
      <c r="A8" s="9" t="inlineStr">
        <is>
          <t>Innrapporterte produksjonstall TOTALT i august 2025.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august 2025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5</v>
      </c>
      <c r="I21" s="26" t="n">
        <v>581</v>
      </c>
      <c r="J21" s="26" t="n">
        <v>405</v>
      </c>
      <c r="K21" s="26" t="n">
        <v>0</v>
      </c>
      <c r="L21" s="26" t="n">
        <v>40</v>
      </c>
      <c r="M21" s="26" t="n">
        <v>6454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2379</v>
      </c>
      <c r="H22" s="26" t="n">
        <v>302</v>
      </c>
      <c r="I22" s="26" t="n">
        <v>9095</v>
      </c>
      <c r="J22" s="26" t="n">
        <v>114</v>
      </c>
      <c r="K22" s="26" t="n">
        <v>104</v>
      </c>
      <c r="L22" s="26" t="n">
        <v>148</v>
      </c>
      <c r="M22" s="26" t="n">
        <v>8795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53</v>
      </c>
      <c r="D23" s="26" t="n">
        <v>9</v>
      </c>
      <c r="E23" s="26" t="n">
        <v>378</v>
      </c>
      <c r="F23" s="26" t="n">
        <v>0</v>
      </c>
      <c r="G23" s="26" t="n">
        <v>2711</v>
      </c>
      <c r="H23" s="26" t="n">
        <v>264</v>
      </c>
      <c r="I23" s="26" t="n">
        <v>10556</v>
      </c>
      <c r="J23" s="26" t="n">
        <v>2297</v>
      </c>
      <c r="K23" s="26" t="n">
        <v>532</v>
      </c>
      <c r="L23" s="26" t="n">
        <v>122</v>
      </c>
      <c r="M23" s="26" t="n">
        <v>25426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44</v>
      </c>
      <c r="T23" s="26" t="n">
        <v>46</v>
      </c>
      <c r="U23" s="26" t="n">
        <v>2578</v>
      </c>
      <c r="V23" s="26" t="n">
        <v>320</v>
      </c>
      <c r="W23" s="26" t="n">
        <v>0</v>
      </c>
      <c r="X23" s="26" t="n">
        <v>108</v>
      </c>
      <c r="Y23" s="26" t="n">
        <v>4618</v>
      </c>
    </row>
    <row r="24">
      <c r="A24" s="26" t="inlineStr">
        <is>
          <t>Område 4: Nordhordland til Stadt</t>
        </is>
      </c>
      <c r="B24" s="26" t="n">
        <v>0</v>
      </c>
      <c r="C24" s="26" t="n">
        <v>3</v>
      </c>
      <c r="D24" s="26" t="n">
        <v>4</v>
      </c>
      <c r="E24" s="26" t="n">
        <v>1087</v>
      </c>
      <c r="F24" s="26" t="n">
        <v>0</v>
      </c>
      <c r="G24" s="26" t="n">
        <v>1416</v>
      </c>
      <c r="H24" s="26" t="n">
        <v>480</v>
      </c>
      <c r="I24" s="26" t="n">
        <v>11926</v>
      </c>
      <c r="J24" s="26" t="n">
        <v>1790</v>
      </c>
      <c r="K24" s="26" t="n">
        <v>0</v>
      </c>
      <c r="L24" s="26" t="n">
        <v>179</v>
      </c>
      <c r="M24" s="26" t="n">
        <v>19796</v>
      </c>
      <c r="N24" s="26" t="n">
        <v>0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1844</v>
      </c>
      <c r="T24" s="26" t="n">
        <v>82</v>
      </c>
      <c r="U24" s="26" t="n">
        <v>7356</v>
      </c>
      <c r="V24" s="26" t="n">
        <v>577</v>
      </c>
      <c r="W24" s="26" t="n">
        <v>24</v>
      </c>
      <c r="X24" s="26" t="n">
        <v>192</v>
      </c>
      <c r="Y24" s="26" t="n">
        <v>6915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3076</v>
      </c>
      <c r="H25" s="26" t="n">
        <v>362</v>
      </c>
      <c r="I25" s="26" t="n">
        <v>8221</v>
      </c>
      <c r="J25" s="26" t="n">
        <v>596</v>
      </c>
      <c r="K25" s="26" t="n">
        <v>0</v>
      </c>
      <c r="L25" s="26" t="n">
        <v>77</v>
      </c>
      <c r="M25" s="26" t="n">
        <v>10085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342</v>
      </c>
      <c r="T25" s="26" t="n">
        <v>-9</v>
      </c>
      <c r="U25" s="26" t="n">
        <v>458</v>
      </c>
      <c r="V25" s="26" t="n">
        <v>0</v>
      </c>
      <c r="W25" s="26" t="n">
        <v>0</v>
      </c>
      <c r="X25" s="26" t="n">
        <v>10</v>
      </c>
      <c r="Y25" s="26" t="n">
        <v>1227</v>
      </c>
    </row>
    <row r="26">
      <c r="A26" s="26" t="inlineStr">
        <is>
          <t>Område 6: Nordmøre og Sør-Trøndelag</t>
        </is>
      </c>
      <c r="B26" s="26" t="n">
        <v>0</v>
      </c>
      <c r="C26" s="26" t="n">
        <v>174</v>
      </c>
      <c r="D26" s="26" t="n">
        <v>1</v>
      </c>
      <c r="E26" s="26" t="n">
        <v>132</v>
      </c>
      <c r="F26" s="26" t="n">
        <v>0</v>
      </c>
      <c r="G26" s="26" t="n">
        <v>5503</v>
      </c>
      <c r="H26" s="26" t="n">
        <v>790</v>
      </c>
      <c r="I26" s="26" t="n">
        <v>34771</v>
      </c>
      <c r="J26" s="26" t="n">
        <v>7330</v>
      </c>
      <c r="K26" s="26" t="n">
        <v>142</v>
      </c>
      <c r="L26" s="26" t="n">
        <v>507</v>
      </c>
      <c r="M26" s="26" t="n">
        <v>42912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16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2817</v>
      </c>
      <c r="H27" s="26" t="n">
        <v>290</v>
      </c>
      <c r="I27" s="26" t="n">
        <v>22988</v>
      </c>
      <c r="J27" s="26" t="n">
        <v>2149</v>
      </c>
      <c r="K27" s="26" t="n">
        <v>0</v>
      </c>
      <c r="L27" s="26" t="n">
        <v>59</v>
      </c>
      <c r="M27" s="26" t="n">
        <v>12958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4113</v>
      </c>
      <c r="H28" s="26" t="n">
        <v>220</v>
      </c>
      <c r="I28" s="26" t="n">
        <v>24597</v>
      </c>
      <c r="J28" s="26" t="n">
        <v>3876</v>
      </c>
      <c r="K28" s="26" t="n">
        <v>0</v>
      </c>
      <c r="L28" s="26" t="n">
        <v>106</v>
      </c>
      <c r="M28" s="26" t="n">
        <v>27717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679</v>
      </c>
      <c r="D29" s="26" t="n">
        <v>-22</v>
      </c>
      <c r="E29" s="26" t="n">
        <v>81</v>
      </c>
      <c r="F29" s="26" t="n">
        <v>0</v>
      </c>
      <c r="G29" s="26" t="n">
        <v>3334</v>
      </c>
      <c r="H29" s="26" t="n">
        <v>164</v>
      </c>
      <c r="I29" s="26" t="n">
        <v>19542</v>
      </c>
      <c r="J29" s="26" t="n">
        <v>5912</v>
      </c>
      <c r="K29" s="26" t="n">
        <v>0</v>
      </c>
      <c r="L29" s="26" t="n">
        <v>334</v>
      </c>
      <c r="M29" s="26" t="n">
        <v>24273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100</v>
      </c>
      <c r="D30" s="26" t="n">
        <v>-26</v>
      </c>
      <c r="E30" s="26" t="n">
        <v>0</v>
      </c>
      <c r="F30" s="26" t="n">
        <v>0</v>
      </c>
      <c r="G30" s="26" t="n">
        <v>2757</v>
      </c>
      <c r="H30" s="26" t="n">
        <v>230</v>
      </c>
      <c r="I30" s="26" t="n">
        <v>25958</v>
      </c>
      <c r="J30" s="26" t="n">
        <v>6003</v>
      </c>
      <c r="K30" s="26" t="n">
        <v>0</v>
      </c>
      <c r="L30" s="26" t="n">
        <v>61</v>
      </c>
      <c r="M30" s="26" t="n">
        <v>22369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119</v>
      </c>
      <c r="D31" s="26" t="n">
        <v>1</v>
      </c>
      <c r="E31" s="26" t="n">
        <v>0</v>
      </c>
      <c r="F31" s="26" t="n">
        <v>0</v>
      </c>
      <c r="G31" s="26" t="n">
        <v>3326</v>
      </c>
      <c r="H31" s="26" t="n">
        <v>47</v>
      </c>
      <c r="I31" s="26" t="n">
        <v>14560</v>
      </c>
      <c r="J31" s="26" t="n">
        <v>1347</v>
      </c>
      <c r="K31" s="26" t="n">
        <v>0</v>
      </c>
      <c r="L31" s="26" t="n">
        <v>32</v>
      </c>
      <c r="M31" s="26" t="n">
        <v>14218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955</v>
      </c>
      <c r="D32" s="26" t="n">
        <v>25</v>
      </c>
      <c r="E32" s="26" t="n">
        <v>21</v>
      </c>
      <c r="F32" s="26" t="n">
        <v>0</v>
      </c>
      <c r="G32" s="26" t="n">
        <v>2604</v>
      </c>
      <c r="H32" s="26" t="n">
        <v>182</v>
      </c>
      <c r="I32" s="26" t="n">
        <v>23997</v>
      </c>
      <c r="J32" s="26" t="n">
        <v>3836</v>
      </c>
      <c r="K32" s="26" t="n">
        <v>0</v>
      </c>
      <c r="L32" s="26" t="n">
        <v>657</v>
      </c>
      <c r="M32" s="26" t="n">
        <v>27863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469</v>
      </c>
      <c r="H33" s="26" t="n">
        <v>2</v>
      </c>
      <c r="I33" s="26" t="n">
        <v>553</v>
      </c>
      <c r="J33" s="26" t="n">
        <v>0</v>
      </c>
      <c r="K33" s="26" t="n">
        <v>0</v>
      </c>
      <c r="L33" s="26" t="n">
        <v>4</v>
      </c>
      <c r="M33" s="26" t="n">
        <v>2709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0</v>
      </c>
      <c r="D34" s="26" t="n">
        <v>2</v>
      </c>
      <c r="E34" s="26" t="n">
        <v>42</v>
      </c>
      <c r="F34" s="26" t="n">
        <v>0</v>
      </c>
      <c r="G34" s="26" t="n">
        <v>326</v>
      </c>
      <c r="H34" s="26" t="n">
        <v>29</v>
      </c>
      <c r="I34" s="26" t="n">
        <v>2379</v>
      </c>
      <c r="J34" s="26" t="n">
        <v>1215</v>
      </c>
      <c r="K34" s="26" t="n">
        <v>0</v>
      </c>
      <c r="L34" s="26" t="n">
        <v>48</v>
      </c>
      <c r="M34" s="26" t="n">
        <v>8111</v>
      </c>
      <c r="N34" s="26" t="n">
        <v>0</v>
      </c>
      <c r="O34" s="26" t="n">
        <v>0</v>
      </c>
      <c r="P34" s="26" t="n">
        <v>2</v>
      </c>
      <c r="Q34" s="26" t="n">
        <v>243</v>
      </c>
      <c r="R34" s="26" t="n">
        <v>0</v>
      </c>
      <c r="S34" s="26" t="n">
        <v>34</v>
      </c>
      <c r="T34" s="26" t="n">
        <v>4</v>
      </c>
      <c r="U34" s="26" t="n">
        <v>213</v>
      </c>
      <c r="V34" s="26" t="n">
        <v>0</v>
      </c>
      <c r="W34" s="26" t="n">
        <v>0</v>
      </c>
      <c r="X34" s="26" t="n">
        <v>17</v>
      </c>
      <c r="Y34" s="26" t="n">
        <v>374</v>
      </c>
    </row>
    <row r="35">
      <c r="A35" s="27" t="inlineStr">
        <is>
          <t>Totalt</t>
        </is>
      </c>
      <c r="B35" s="27" t="n">
        <v>0</v>
      </c>
      <c r="C35" s="27" t="n">
        <v>2083</v>
      </c>
      <c r="D35" s="27" t="n">
        <v>-5</v>
      </c>
      <c r="E35" s="27" t="n">
        <v>1740</v>
      </c>
      <c r="F35" s="27" t="n">
        <v>0</v>
      </c>
      <c r="G35" s="27" t="n">
        <v>34832</v>
      </c>
      <c r="H35" s="27" t="n">
        <v>3367</v>
      </c>
      <c r="I35" s="27" t="n">
        <v>209725</v>
      </c>
      <c r="J35" s="27" t="n">
        <v>36872</v>
      </c>
      <c r="K35" s="27" t="n">
        <v>779</v>
      </c>
      <c r="L35" s="27" t="n">
        <v>2372</v>
      </c>
      <c r="M35" s="27" t="n">
        <v>253686</v>
      </c>
      <c r="N35" s="27" t="n">
        <v>0</v>
      </c>
      <c r="O35" s="27" t="n">
        <v>0</v>
      </c>
      <c r="P35" s="27" t="n">
        <v>2</v>
      </c>
      <c r="Q35" s="27" t="n">
        <v>243</v>
      </c>
      <c r="R35" s="27" t="n">
        <v>0</v>
      </c>
      <c r="S35" s="27" t="n">
        <v>2264</v>
      </c>
      <c r="T35" s="27" t="n">
        <v>123</v>
      </c>
      <c r="U35" s="27" t="n">
        <v>10621</v>
      </c>
      <c r="V35" s="27" t="n">
        <v>898</v>
      </c>
      <c r="W35" s="27" t="n">
        <v>24</v>
      </c>
      <c r="X35" s="27" t="n">
        <v>328</v>
      </c>
      <c r="Y35" s="27" t="n">
        <v>13134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2025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20.08.2026</t>
        </is>
      </c>
    </row>
    <row r="6">
      <c r="A6" s="7" t="n"/>
    </row>
    <row r="8" ht="15.75" customFormat="1" customHeight="1" s="17">
      <c r="A8" s="9" t="inlineStr">
        <is>
          <t>Innrapporterte produksjonstall TOTALT i september 2025.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september 2025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154</v>
      </c>
      <c r="H21" s="26" t="n">
        <v>23</v>
      </c>
      <c r="I21" s="26" t="n">
        <v>554</v>
      </c>
      <c r="J21" s="26" t="n">
        <v>305</v>
      </c>
      <c r="K21" s="26" t="n">
        <v>0</v>
      </c>
      <c r="L21" s="26" t="n">
        <v>300</v>
      </c>
      <c r="M21" s="26" t="n">
        <v>7250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1235</v>
      </c>
      <c r="H22" s="26" t="n">
        <v>230</v>
      </c>
      <c r="I22" s="26" t="n">
        <v>7713</v>
      </c>
      <c r="J22" s="26" t="n">
        <v>3066</v>
      </c>
      <c r="K22" s="26" t="n">
        <v>528</v>
      </c>
      <c r="L22" s="26" t="n">
        <v>240</v>
      </c>
      <c r="M22" s="26" t="n">
        <v>11398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48</v>
      </c>
      <c r="D23" s="26" t="n">
        <v>4</v>
      </c>
      <c r="E23" s="26" t="n">
        <v>326</v>
      </c>
      <c r="F23" s="26" t="n">
        <v>0</v>
      </c>
      <c r="G23" s="26" t="n">
        <v>2256</v>
      </c>
      <c r="H23" s="26" t="n">
        <v>189</v>
      </c>
      <c r="I23" s="26" t="n">
        <v>8355</v>
      </c>
      <c r="J23" s="26" t="n">
        <v>2024</v>
      </c>
      <c r="K23" s="26" t="n">
        <v>220</v>
      </c>
      <c r="L23" s="26" t="n">
        <v>372</v>
      </c>
      <c r="M23" s="26" t="n">
        <v>27570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26</v>
      </c>
      <c r="T23" s="26" t="n">
        <v>43</v>
      </c>
      <c r="U23" s="26" t="n">
        <v>2508</v>
      </c>
      <c r="V23" s="26" t="n">
        <v>162</v>
      </c>
      <c r="W23" s="26" t="n">
        <v>93</v>
      </c>
      <c r="X23" s="26" t="n">
        <v>65</v>
      </c>
      <c r="Y23" s="26" t="n">
        <v>4622</v>
      </c>
    </row>
    <row r="24">
      <c r="A24" s="26" t="inlineStr">
        <is>
          <t>Område 4: Nordhordland til Stadt</t>
        </is>
      </c>
      <c r="B24" s="26" t="n">
        <v>0</v>
      </c>
      <c r="C24" s="26" t="n">
        <v>101</v>
      </c>
      <c r="D24" s="26" t="n">
        <v>10</v>
      </c>
      <c r="E24" s="26" t="n">
        <v>976</v>
      </c>
      <c r="F24" s="26" t="n">
        <v>0</v>
      </c>
      <c r="G24" s="26" t="n">
        <v>2879</v>
      </c>
      <c r="H24" s="26" t="n">
        <v>661</v>
      </c>
      <c r="I24" s="26" t="n">
        <v>8470</v>
      </c>
      <c r="J24" s="26" t="n">
        <v>2737</v>
      </c>
      <c r="K24" s="26" t="n">
        <v>25</v>
      </c>
      <c r="L24" s="26" t="n">
        <v>95</v>
      </c>
      <c r="M24" s="26" t="n">
        <v>24153</v>
      </c>
      <c r="N24" s="26" t="n">
        <v>0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1531</v>
      </c>
      <c r="T24" s="26" t="n">
        <v>76</v>
      </c>
      <c r="U24" s="26" t="n">
        <v>5749</v>
      </c>
      <c r="V24" s="26" t="n">
        <v>1468</v>
      </c>
      <c r="W24" s="26" t="n">
        <v>84</v>
      </c>
      <c r="X24" s="26" t="n">
        <v>262</v>
      </c>
      <c r="Y24" s="26" t="n">
        <v>8650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1969</v>
      </c>
      <c r="H25" s="26" t="n">
        <v>223</v>
      </c>
      <c r="I25" s="26" t="n">
        <v>5938</v>
      </c>
      <c r="J25" s="26" t="n">
        <v>801</v>
      </c>
      <c r="K25" s="26" t="n">
        <v>42</v>
      </c>
      <c r="L25" s="26" t="n">
        <v>52</v>
      </c>
      <c r="M25" s="26" t="n">
        <v>10793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354</v>
      </c>
      <c r="T25" s="26" t="n">
        <v>8</v>
      </c>
      <c r="U25" s="26" t="n">
        <v>62</v>
      </c>
      <c r="V25" s="26" t="n">
        <v>0</v>
      </c>
      <c r="W25" s="26" t="n">
        <v>0</v>
      </c>
      <c r="X25" s="26" t="n">
        <v>18</v>
      </c>
      <c r="Y25" s="26" t="n">
        <v>1539</v>
      </c>
    </row>
    <row r="26">
      <c r="A26" s="26" t="inlineStr">
        <is>
          <t>Område 6: Nordmøre og Sør-Trøndelag</t>
        </is>
      </c>
      <c r="B26" s="26" t="n">
        <v>0</v>
      </c>
      <c r="C26" s="26" t="n">
        <v>120</v>
      </c>
      <c r="D26" s="26" t="n">
        <v>-3</v>
      </c>
      <c r="E26" s="26" t="n">
        <v>0</v>
      </c>
      <c r="F26" s="26" t="n">
        <v>0</v>
      </c>
      <c r="G26" s="26" t="n">
        <v>4926</v>
      </c>
      <c r="H26" s="26" t="n">
        <v>607</v>
      </c>
      <c r="I26" s="26" t="n">
        <v>29305</v>
      </c>
      <c r="J26" s="26" t="n">
        <v>7840</v>
      </c>
      <c r="K26" s="26" t="n">
        <v>0</v>
      </c>
      <c r="L26" s="26" t="n">
        <v>455</v>
      </c>
      <c r="M26" s="26" t="n">
        <v>51530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15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3046</v>
      </c>
      <c r="H27" s="26" t="n">
        <v>236</v>
      </c>
      <c r="I27" s="26" t="n">
        <v>19553</v>
      </c>
      <c r="J27" s="26" t="n">
        <v>3509</v>
      </c>
      <c r="K27" s="26" t="n">
        <v>0</v>
      </c>
      <c r="L27" s="26" t="n">
        <v>80</v>
      </c>
      <c r="M27" s="26" t="n">
        <v>18447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5474</v>
      </c>
      <c r="H28" s="26" t="n">
        <v>156</v>
      </c>
      <c r="I28" s="26" t="n">
        <v>18780</v>
      </c>
      <c r="J28" s="26" t="n">
        <v>3156</v>
      </c>
      <c r="K28" s="26" t="n">
        <v>0</v>
      </c>
      <c r="L28" s="26" t="n">
        <v>132</v>
      </c>
      <c r="M28" s="26" t="n">
        <v>30678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78</v>
      </c>
      <c r="D29" s="26" t="n">
        <v>-3</v>
      </c>
      <c r="E29" s="26" t="n">
        <v>0</v>
      </c>
      <c r="F29" s="26" t="n">
        <v>0</v>
      </c>
      <c r="G29" s="26" t="n">
        <v>3120</v>
      </c>
      <c r="H29" s="26" t="n">
        <v>91</v>
      </c>
      <c r="I29" s="26" t="n">
        <v>16223</v>
      </c>
      <c r="J29" s="26" t="n">
        <v>6892</v>
      </c>
      <c r="K29" s="26" t="n">
        <v>0</v>
      </c>
      <c r="L29" s="26" t="n">
        <v>160</v>
      </c>
      <c r="M29" s="26" t="n">
        <v>32319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</row>
    <row r="30">
      <c r="A30" s="26" t="inlineStr">
        <is>
          <t>Område 10: Andøya til Senja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3347</v>
      </c>
      <c r="H30" s="26" t="n">
        <v>122</v>
      </c>
      <c r="I30" s="26" t="n">
        <v>22429</v>
      </c>
      <c r="J30" s="26" t="n">
        <v>4279</v>
      </c>
      <c r="K30" s="26" t="n">
        <v>0</v>
      </c>
      <c r="L30" s="26" t="n">
        <v>136</v>
      </c>
      <c r="M30" s="26" t="n">
        <v>26370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3190</v>
      </c>
      <c r="H31" s="26" t="n">
        <v>30</v>
      </c>
      <c r="I31" s="26" t="n">
        <v>11275</v>
      </c>
      <c r="J31" s="26" t="n">
        <v>794</v>
      </c>
      <c r="K31" s="26" t="n">
        <v>0</v>
      </c>
      <c r="L31" s="26" t="n">
        <v>60</v>
      </c>
      <c r="M31" s="26" t="n">
        <v>17506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25</v>
      </c>
      <c r="D32" s="26" t="n">
        <v>5</v>
      </c>
      <c r="E32" s="26" t="n">
        <v>0</v>
      </c>
      <c r="F32" s="26" t="n">
        <v>0</v>
      </c>
      <c r="G32" s="26" t="n">
        <v>3236</v>
      </c>
      <c r="H32" s="26" t="n">
        <v>111</v>
      </c>
      <c r="I32" s="26" t="n">
        <v>20579</v>
      </c>
      <c r="J32" s="26" t="n">
        <v>279</v>
      </c>
      <c r="K32" s="26" t="n">
        <v>0</v>
      </c>
      <c r="L32" s="26" t="n">
        <v>473</v>
      </c>
      <c r="M32" s="26" t="n">
        <v>27858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419</v>
      </c>
      <c r="H33" s="26" t="n">
        <v>-4</v>
      </c>
      <c r="I33" s="26" t="n">
        <v>126</v>
      </c>
      <c r="J33" s="26" t="n">
        <v>0</v>
      </c>
      <c r="K33" s="26" t="n">
        <v>0</v>
      </c>
      <c r="L33" s="26" t="n">
        <v>6</v>
      </c>
      <c r="M33" s="26" t="n">
        <v>2703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18</v>
      </c>
      <c r="D34" s="26" t="n">
        <v>0</v>
      </c>
      <c r="E34" s="26" t="n">
        <v>14</v>
      </c>
      <c r="F34" s="26" t="n">
        <v>0</v>
      </c>
      <c r="G34" s="26" t="n">
        <v>328</v>
      </c>
      <c r="H34" s="26" t="n">
        <v>13</v>
      </c>
      <c r="I34" s="26" t="n">
        <v>2052</v>
      </c>
      <c r="J34" s="26" t="n">
        <v>1315</v>
      </c>
      <c r="K34" s="26" t="n">
        <v>0</v>
      </c>
      <c r="L34" s="26" t="n">
        <v>108</v>
      </c>
      <c r="M34" s="26" t="n">
        <v>9503</v>
      </c>
      <c r="N34" s="26" t="n">
        <v>0</v>
      </c>
      <c r="O34" s="26" t="n">
        <v>2</v>
      </c>
      <c r="P34" s="26" t="n">
        <v>5</v>
      </c>
      <c r="Q34" s="26" t="n">
        <v>236</v>
      </c>
      <c r="R34" s="26" t="n">
        <v>0</v>
      </c>
      <c r="S34" s="26" t="n">
        <v>108</v>
      </c>
      <c r="T34" s="26" t="n">
        <v>-1</v>
      </c>
      <c r="U34" s="26" t="n">
        <v>103</v>
      </c>
      <c r="V34" s="26" t="n">
        <v>39</v>
      </c>
      <c r="W34" s="26" t="n">
        <v>0</v>
      </c>
      <c r="X34" s="26" t="n">
        <v>20</v>
      </c>
      <c r="Y34" s="26" t="n">
        <v>394</v>
      </c>
    </row>
    <row r="35">
      <c r="A35" s="27" t="inlineStr">
        <is>
          <t>Totalt</t>
        </is>
      </c>
      <c r="B35" s="27" t="n">
        <v>0</v>
      </c>
      <c r="C35" s="27" t="n">
        <v>389</v>
      </c>
      <c r="D35" s="27" t="n">
        <v>14</v>
      </c>
      <c r="E35" s="27" t="n">
        <v>1315</v>
      </c>
      <c r="F35" s="27" t="n">
        <v>0</v>
      </c>
      <c r="G35" s="27" t="n">
        <v>35578</v>
      </c>
      <c r="H35" s="27" t="n">
        <v>2689</v>
      </c>
      <c r="I35" s="27" t="n">
        <v>171352</v>
      </c>
      <c r="J35" s="27" t="n">
        <v>36998</v>
      </c>
      <c r="K35" s="27" t="n">
        <v>815</v>
      </c>
      <c r="L35" s="27" t="n">
        <v>2668</v>
      </c>
      <c r="M35" s="27" t="n">
        <v>298078</v>
      </c>
      <c r="N35" s="27" t="n">
        <v>0</v>
      </c>
      <c r="O35" s="27" t="n">
        <v>2</v>
      </c>
      <c r="P35" s="27" t="n">
        <v>5</v>
      </c>
      <c r="Q35" s="27" t="n">
        <v>236</v>
      </c>
      <c r="R35" s="27" t="n">
        <v>0</v>
      </c>
      <c r="S35" s="27" t="n">
        <v>2018</v>
      </c>
      <c r="T35" s="27" t="n">
        <v>126</v>
      </c>
      <c r="U35" s="27" t="n">
        <v>8437</v>
      </c>
      <c r="V35" s="27" t="n">
        <v>1669</v>
      </c>
      <c r="W35" s="27" t="n">
        <v>176</v>
      </c>
      <c r="X35" s="27" t="n">
        <v>365</v>
      </c>
      <c r="Y35" s="27" t="n">
        <v>15205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2025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20.08.2026</t>
        </is>
      </c>
    </row>
    <row r="6">
      <c r="A6" s="7" t="n"/>
    </row>
    <row r="8" ht="15.75" customFormat="1" customHeight="1" s="17">
      <c r="A8" s="9" t="inlineStr">
        <is>
          <t>Innrapporterte produksjonstall TOTALT i oktober 2025.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oktober 2025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40</v>
      </c>
      <c r="I21" s="26" t="n">
        <v>514</v>
      </c>
      <c r="J21" s="26" t="n">
        <v>0</v>
      </c>
      <c r="K21" s="26" t="n">
        <v>0</v>
      </c>
      <c r="L21" s="26" t="n">
        <v>1073</v>
      </c>
      <c r="M21" s="26" t="n">
        <v>6178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1330</v>
      </c>
      <c r="H22" s="26" t="n">
        <v>211</v>
      </c>
      <c r="I22" s="26" t="n">
        <v>6163</v>
      </c>
      <c r="J22" s="26" t="n">
        <v>2754</v>
      </c>
      <c r="K22" s="26" t="n">
        <v>0</v>
      </c>
      <c r="L22" s="26" t="n">
        <v>136</v>
      </c>
      <c r="M22" s="26" t="n">
        <v>14430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25</v>
      </c>
      <c r="D23" s="26" t="n">
        <v>5</v>
      </c>
      <c r="E23" s="26" t="n">
        <v>301</v>
      </c>
      <c r="F23" s="26" t="n">
        <v>0</v>
      </c>
      <c r="G23" s="26" t="n">
        <v>1138</v>
      </c>
      <c r="H23" s="26" t="n">
        <v>163</v>
      </c>
      <c r="I23" s="26" t="n">
        <v>6523</v>
      </c>
      <c r="J23" s="26" t="n">
        <v>2474</v>
      </c>
      <c r="K23" s="26" t="n">
        <v>1567</v>
      </c>
      <c r="L23" s="26" t="n">
        <v>533</v>
      </c>
      <c r="M23" s="26" t="n">
        <v>32158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364</v>
      </c>
      <c r="T23" s="26" t="n">
        <v>13</v>
      </c>
      <c r="U23" s="26" t="n">
        <v>2088</v>
      </c>
      <c r="V23" s="26" t="n">
        <v>160</v>
      </c>
      <c r="W23" s="26" t="n">
        <v>0</v>
      </c>
      <c r="X23" s="26" t="n">
        <v>90</v>
      </c>
      <c r="Y23" s="26" t="n">
        <v>4692</v>
      </c>
    </row>
    <row r="24">
      <c r="A24" s="26" t="inlineStr">
        <is>
          <t>Område 4: Nordhordland til Stadt</t>
        </is>
      </c>
      <c r="B24" s="26" t="n">
        <v>0</v>
      </c>
      <c r="C24" s="26" t="n">
        <v>59</v>
      </c>
      <c r="D24" s="26" t="n">
        <v>2</v>
      </c>
      <c r="E24" s="26" t="n">
        <v>897</v>
      </c>
      <c r="F24" s="26" t="n">
        <v>0</v>
      </c>
      <c r="G24" s="26" t="n">
        <v>3539</v>
      </c>
      <c r="H24" s="26" t="n">
        <v>333</v>
      </c>
      <c r="I24" s="26" t="n">
        <v>4644</v>
      </c>
      <c r="J24" s="26" t="n">
        <v>1014</v>
      </c>
      <c r="K24" s="26" t="n">
        <v>96</v>
      </c>
      <c r="L24" s="26" t="n">
        <v>155</v>
      </c>
      <c r="M24" s="26" t="n">
        <v>26480</v>
      </c>
      <c r="N24" s="26" t="n">
        <v>0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1180</v>
      </c>
      <c r="T24" s="26" t="n">
        <v>59</v>
      </c>
      <c r="U24" s="26" t="n">
        <v>4498</v>
      </c>
      <c r="V24" s="26" t="n">
        <v>2096</v>
      </c>
      <c r="W24" s="26" t="n">
        <v>242</v>
      </c>
      <c r="X24" s="26" t="n">
        <v>163</v>
      </c>
      <c r="Y24" s="26" t="n">
        <v>11131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2126</v>
      </c>
      <c r="H25" s="26" t="n">
        <v>376</v>
      </c>
      <c r="I25" s="26" t="n">
        <v>3497</v>
      </c>
      <c r="J25" s="26" t="n">
        <v>2094</v>
      </c>
      <c r="K25" s="26" t="n">
        <v>155</v>
      </c>
      <c r="L25" s="26" t="n">
        <v>314</v>
      </c>
      <c r="M25" s="26" t="n">
        <v>13172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61</v>
      </c>
      <c r="T25" s="26" t="n">
        <v>-0</v>
      </c>
      <c r="U25" s="26" t="n">
        <v>0</v>
      </c>
      <c r="V25" s="26" t="n">
        <v>0</v>
      </c>
      <c r="W25" s="26" t="n">
        <v>157</v>
      </c>
      <c r="X25" s="26" t="n">
        <v>5</v>
      </c>
      <c r="Y25" s="26" t="n">
        <v>1510</v>
      </c>
    </row>
    <row r="26">
      <c r="A26" s="26" t="inlineStr">
        <is>
          <t>Område 6: Nordmøre og Sør-Trøndelag</t>
        </is>
      </c>
      <c r="B26" s="26" t="n">
        <v>0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5899</v>
      </c>
      <c r="H26" s="26" t="n">
        <v>414</v>
      </c>
      <c r="I26" s="26" t="n">
        <v>22900</v>
      </c>
      <c r="J26" s="26" t="n">
        <v>971</v>
      </c>
      <c r="K26" s="26" t="n">
        <v>990</v>
      </c>
      <c r="L26" s="26" t="n">
        <v>765</v>
      </c>
      <c r="M26" s="26" t="n">
        <v>52514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1</v>
      </c>
      <c r="U26" s="26" t="n">
        <v>14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4147</v>
      </c>
      <c r="H27" s="26" t="n">
        <v>170</v>
      </c>
      <c r="I27" s="26" t="n">
        <v>15172</v>
      </c>
      <c r="J27" s="26" t="n">
        <v>1564</v>
      </c>
      <c r="K27" s="26" t="n">
        <v>0</v>
      </c>
      <c r="L27" s="26" t="n">
        <v>90</v>
      </c>
      <c r="M27" s="26" t="n">
        <v>19470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4227</v>
      </c>
      <c r="H28" s="26" t="n">
        <v>90</v>
      </c>
      <c r="I28" s="26" t="n">
        <v>14319</v>
      </c>
      <c r="J28" s="26" t="n">
        <v>1112</v>
      </c>
      <c r="K28" s="26" t="n">
        <v>0</v>
      </c>
      <c r="L28" s="26" t="n">
        <v>487</v>
      </c>
      <c r="M28" s="26" t="n">
        <v>32128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2654</v>
      </c>
      <c r="H29" s="26" t="n">
        <v>13</v>
      </c>
      <c r="I29" s="26" t="n">
        <v>13465</v>
      </c>
      <c r="J29" s="26" t="n">
        <v>3790</v>
      </c>
      <c r="K29" s="26" t="n">
        <v>0</v>
      </c>
      <c r="L29" s="26" t="n">
        <v>131</v>
      </c>
      <c r="M29" s="26" t="n">
        <v>36130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1</v>
      </c>
      <c r="Y29" s="26" t="n">
        <v>180</v>
      </c>
    </row>
    <row r="30">
      <c r="A30" s="26" t="inlineStr">
        <is>
          <t>Område 10: Andøya til Senja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2962</v>
      </c>
      <c r="H30" s="26" t="n">
        <v>133</v>
      </c>
      <c r="I30" s="26" t="n">
        <v>19303</v>
      </c>
      <c r="J30" s="26" t="n">
        <v>4034</v>
      </c>
      <c r="K30" s="26" t="n">
        <v>0</v>
      </c>
      <c r="L30" s="26" t="n">
        <v>193</v>
      </c>
      <c r="M30" s="26" t="n">
        <v>30211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3677</v>
      </c>
      <c r="H31" s="26" t="n">
        <v>31</v>
      </c>
      <c r="I31" s="26" t="n">
        <v>7442</v>
      </c>
      <c r="J31" s="26" t="n">
        <v>1586</v>
      </c>
      <c r="K31" s="26" t="n">
        <v>0</v>
      </c>
      <c r="L31" s="26" t="n">
        <v>105</v>
      </c>
      <c r="M31" s="26" t="n">
        <v>19634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0</v>
      </c>
      <c r="D32" s="26" t="n">
        <v>0</v>
      </c>
      <c r="E32" s="26" t="n">
        <v>0</v>
      </c>
      <c r="F32" s="26" t="n">
        <v>0</v>
      </c>
      <c r="G32" s="26" t="n">
        <v>3629</v>
      </c>
      <c r="H32" s="26" t="n">
        <v>186</v>
      </c>
      <c r="I32" s="26" t="n">
        <v>16734</v>
      </c>
      <c r="J32" s="26" t="n">
        <v>795</v>
      </c>
      <c r="K32" s="26" t="n">
        <v>0</v>
      </c>
      <c r="L32" s="26" t="n">
        <v>170</v>
      </c>
      <c r="M32" s="26" t="n">
        <v>29320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132</v>
      </c>
      <c r="H33" s="26" t="n">
        <v>6</v>
      </c>
      <c r="I33" s="26" t="n">
        <v>0</v>
      </c>
      <c r="J33" s="26" t="n">
        <v>0</v>
      </c>
      <c r="K33" s="26" t="n">
        <v>0</v>
      </c>
      <c r="L33" s="26" t="n">
        <v>3</v>
      </c>
      <c r="M33" s="26" t="n">
        <v>2692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4</v>
      </c>
      <c r="D34" s="26" t="n">
        <v>0</v>
      </c>
      <c r="E34" s="26" t="n">
        <v>6</v>
      </c>
      <c r="F34" s="26" t="n">
        <v>0</v>
      </c>
      <c r="G34" s="26" t="n">
        <v>307</v>
      </c>
      <c r="H34" s="26" t="n">
        <v>31</v>
      </c>
      <c r="I34" s="26" t="n">
        <v>1706</v>
      </c>
      <c r="J34" s="26" t="n">
        <v>1215</v>
      </c>
      <c r="K34" s="26" t="n">
        <v>0</v>
      </c>
      <c r="L34" s="26" t="n">
        <v>110</v>
      </c>
      <c r="M34" s="26" t="n">
        <v>10689</v>
      </c>
      <c r="N34" s="26" t="n">
        <v>0</v>
      </c>
      <c r="O34" s="26" t="n">
        <v>22</v>
      </c>
      <c r="P34" s="26" t="n">
        <v>0</v>
      </c>
      <c r="Q34" s="26" t="n">
        <v>211</v>
      </c>
      <c r="R34" s="26" t="n">
        <v>0</v>
      </c>
      <c r="S34" s="26" t="n">
        <v>92</v>
      </c>
      <c r="T34" s="26" t="n">
        <v>0</v>
      </c>
      <c r="U34" s="26" t="n">
        <v>4</v>
      </c>
      <c r="V34" s="26" t="n">
        <v>0</v>
      </c>
      <c r="W34" s="26" t="n">
        <v>0</v>
      </c>
      <c r="X34" s="26" t="n">
        <v>2</v>
      </c>
      <c r="Y34" s="26" t="n">
        <v>392</v>
      </c>
    </row>
    <row r="35">
      <c r="A35" s="27" t="inlineStr">
        <is>
          <t>Totalt</t>
        </is>
      </c>
      <c r="B35" s="27" t="n">
        <v>0</v>
      </c>
      <c r="C35" s="27" t="n">
        <v>87</v>
      </c>
      <c r="D35" s="27" t="n">
        <v>7</v>
      </c>
      <c r="E35" s="27" t="n">
        <v>1205</v>
      </c>
      <c r="F35" s="27" t="n">
        <v>0</v>
      </c>
      <c r="G35" s="27" t="n">
        <v>35767</v>
      </c>
      <c r="H35" s="27" t="n">
        <v>2198</v>
      </c>
      <c r="I35" s="27" t="n">
        <v>132381</v>
      </c>
      <c r="J35" s="27" t="n">
        <v>23404</v>
      </c>
      <c r="K35" s="27" t="n">
        <v>2808</v>
      </c>
      <c r="L35" s="27" t="n">
        <v>4266</v>
      </c>
      <c r="M35" s="27" t="n">
        <v>325207</v>
      </c>
      <c r="N35" s="27" t="n">
        <v>0</v>
      </c>
      <c r="O35" s="27" t="n">
        <v>22</v>
      </c>
      <c r="P35" s="27" t="n">
        <v>0</v>
      </c>
      <c r="Q35" s="27" t="n">
        <v>211</v>
      </c>
      <c r="R35" s="27" t="n">
        <v>0</v>
      </c>
      <c r="S35" s="27" t="n">
        <v>1697</v>
      </c>
      <c r="T35" s="27" t="n">
        <v>74</v>
      </c>
      <c r="U35" s="27" t="n">
        <v>6605</v>
      </c>
      <c r="V35" s="27" t="n">
        <v>2257</v>
      </c>
      <c r="W35" s="27" t="n">
        <v>398</v>
      </c>
      <c r="X35" s="27" t="n">
        <v>261</v>
      </c>
      <c r="Y35" s="27" t="n">
        <v>17904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2025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20.08.2026</t>
        </is>
      </c>
    </row>
    <row r="6">
      <c r="A6" s="7" t="n"/>
    </row>
    <row r="8" ht="15.75" customFormat="1" customHeight="1" s="17">
      <c r="A8" s="9" t="inlineStr">
        <is>
          <t>Innrapporterte produksjonstall TOTALT i november 2025.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november 2025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106</v>
      </c>
      <c r="H21" s="26" t="n">
        <v>12</v>
      </c>
      <c r="I21" s="26" t="n">
        <v>415</v>
      </c>
      <c r="J21" s="26" t="n">
        <v>0</v>
      </c>
      <c r="K21" s="26" t="n">
        <v>78</v>
      </c>
      <c r="L21" s="26" t="n">
        <v>460</v>
      </c>
      <c r="M21" s="26" t="n">
        <v>5642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1376</v>
      </c>
      <c r="H22" s="26" t="n">
        <v>106</v>
      </c>
      <c r="I22" s="26" t="n">
        <v>4670</v>
      </c>
      <c r="J22" s="26" t="n">
        <v>0</v>
      </c>
      <c r="K22" s="26" t="n">
        <v>269</v>
      </c>
      <c r="L22" s="26" t="n">
        <v>137</v>
      </c>
      <c r="M22" s="26" t="n">
        <v>15068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74</v>
      </c>
      <c r="D23" s="26" t="n">
        <v>4</v>
      </c>
      <c r="E23" s="26" t="n">
        <v>224</v>
      </c>
      <c r="F23" s="26" t="n">
        <v>0</v>
      </c>
      <c r="G23" s="26" t="n">
        <v>760</v>
      </c>
      <c r="H23" s="26" t="n">
        <v>110</v>
      </c>
      <c r="I23" s="26" t="n">
        <v>5662</v>
      </c>
      <c r="J23" s="26" t="n">
        <v>1535</v>
      </c>
      <c r="K23" s="26" t="n">
        <v>1764</v>
      </c>
      <c r="L23" s="26" t="n">
        <v>322</v>
      </c>
      <c r="M23" s="26" t="n">
        <v>32262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87</v>
      </c>
      <c r="T23" s="26" t="n">
        <v>35</v>
      </c>
      <c r="U23" s="26" t="n">
        <v>1967</v>
      </c>
      <c r="V23" s="26" t="n">
        <v>481</v>
      </c>
      <c r="W23" s="26" t="n">
        <v>0</v>
      </c>
      <c r="X23" s="26" t="n">
        <v>77</v>
      </c>
      <c r="Y23" s="26" t="n">
        <v>5108</v>
      </c>
    </row>
    <row r="24">
      <c r="A24" s="26" t="inlineStr">
        <is>
          <t>Område 4: Nordhordland til Stadt</t>
        </is>
      </c>
      <c r="B24" s="26" t="n">
        <v>0</v>
      </c>
      <c r="C24" s="26" t="n">
        <v>163</v>
      </c>
      <c r="D24" s="26" t="n">
        <v>14</v>
      </c>
      <c r="E24" s="26" t="n">
        <v>726</v>
      </c>
      <c r="F24" s="26" t="n">
        <v>0</v>
      </c>
      <c r="G24" s="26" t="n">
        <v>1571</v>
      </c>
      <c r="H24" s="26" t="n">
        <v>108</v>
      </c>
      <c r="I24" s="26" t="n">
        <v>2830</v>
      </c>
      <c r="J24" s="26" t="n">
        <v>1308</v>
      </c>
      <c r="K24" s="26" t="n">
        <v>292</v>
      </c>
      <c r="L24" s="26" t="n">
        <v>1064</v>
      </c>
      <c r="M24" s="26" t="n">
        <v>27560</v>
      </c>
      <c r="N24" s="26" t="n">
        <v>0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1306</v>
      </c>
      <c r="T24" s="26" t="n">
        <v>53</v>
      </c>
      <c r="U24" s="26" t="n">
        <v>3153</v>
      </c>
      <c r="V24" s="26" t="n">
        <v>326</v>
      </c>
      <c r="W24" s="26" t="n">
        <v>123</v>
      </c>
      <c r="X24" s="26" t="n">
        <v>135</v>
      </c>
      <c r="Y24" s="26" t="n">
        <v>11410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1892</v>
      </c>
      <c r="H25" s="26" t="n">
        <v>95</v>
      </c>
      <c r="I25" s="26" t="n">
        <v>1426</v>
      </c>
      <c r="J25" s="26" t="n">
        <v>669</v>
      </c>
      <c r="K25" s="26" t="n">
        <v>181</v>
      </c>
      <c r="L25" s="26" t="n">
        <v>284</v>
      </c>
      <c r="M25" s="26" t="n">
        <v>14962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0</v>
      </c>
      <c r="T25" s="26" t="n">
        <v>0</v>
      </c>
      <c r="U25" s="26" t="n">
        <v>0</v>
      </c>
      <c r="V25" s="26" t="n">
        <v>0</v>
      </c>
      <c r="W25" s="26" t="n">
        <v>147</v>
      </c>
      <c r="X25" s="26" t="n">
        <v>16</v>
      </c>
      <c r="Y25" s="26" t="n">
        <v>1465</v>
      </c>
    </row>
    <row r="26">
      <c r="A26" s="26" t="inlineStr">
        <is>
          <t>Område 6: Nordmøre og Sør-Trøndelag</t>
        </is>
      </c>
      <c r="B26" s="26" t="n">
        <v>0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3494</v>
      </c>
      <c r="H26" s="26" t="n">
        <v>275</v>
      </c>
      <c r="I26" s="26" t="n">
        <v>19061</v>
      </c>
      <c r="J26" s="26" t="n">
        <v>2655</v>
      </c>
      <c r="K26" s="26" t="n">
        <v>1843</v>
      </c>
      <c r="L26" s="26" t="n">
        <v>631</v>
      </c>
      <c r="M26" s="26" t="n">
        <v>53664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3264</v>
      </c>
      <c r="H27" s="26" t="n">
        <v>100</v>
      </c>
      <c r="I27" s="26" t="n">
        <v>11948</v>
      </c>
      <c r="J27" s="26" t="n">
        <v>4142</v>
      </c>
      <c r="K27" s="26" t="n">
        <v>0</v>
      </c>
      <c r="L27" s="26" t="n">
        <v>121</v>
      </c>
      <c r="M27" s="26" t="n">
        <v>25371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2733</v>
      </c>
      <c r="H28" s="26" t="n">
        <v>71</v>
      </c>
      <c r="I28" s="26" t="n">
        <v>11527</v>
      </c>
      <c r="J28" s="26" t="n">
        <v>2715</v>
      </c>
      <c r="K28" s="26" t="n">
        <v>639</v>
      </c>
      <c r="L28" s="26" t="n">
        <v>194</v>
      </c>
      <c r="M28" s="26" t="n">
        <v>35103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2650</v>
      </c>
      <c r="H29" s="26" t="n">
        <v>49</v>
      </c>
      <c r="I29" s="26" t="n">
        <v>10744</v>
      </c>
      <c r="J29" s="26" t="n">
        <v>5448</v>
      </c>
      <c r="K29" s="26" t="n">
        <v>215</v>
      </c>
      <c r="L29" s="26" t="n">
        <v>360</v>
      </c>
      <c r="M29" s="26" t="n">
        <v>41420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179</v>
      </c>
    </row>
    <row r="30">
      <c r="A30" s="26" t="inlineStr">
        <is>
          <t>Område 10: Andøya til Senja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3094</v>
      </c>
      <c r="H30" s="26" t="n">
        <v>107</v>
      </c>
      <c r="I30" s="26" t="n">
        <v>15168</v>
      </c>
      <c r="J30" s="26" t="n">
        <v>2565</v>
      </c>
      <c r="K30" s="26" t="n">
        <v>0</v>
      </c>
      <c r="L30" s="26" t="n">
        <v>248</v>
      </c>
      <c r="M30" s="26" t="n">
        <v>33165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3508</v>
      </c>
      <c r="H31" s="26" t="n">
        <v>-0</v>
      </c>
      <c r="I31" s="26" t="n">
        <v>3349</v>
      </c>
      <c r="J31" s="26" t="n">
        <v>2099</v>
      </c>
      <c r="K31" s="26" t="n">
        <v>10</v>
      </c>
      <c r="L31" s="26" t="n">
        <v>118</v>
      </c>
      <c r="M31" s="26" t="n">
        <v>21987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0</v>
      </c>
      <c r="D32" s="26" t="n">
        <v>0</v>
      </c>
      <c r="E32" s="26" t="n">
        <v>0</v>
      </c>
      <c r="F32" s="26" t="n">
        <v>0</v>
      </c>
      <c r="G32" s="26" t="n">
        <v>2057</v>
      </c>
      <c r="H32" s="26" t="n">
        <v>109</v>
      </c>
      <c r="I32" s="26" t="n">
        <v>14536</v>
      </c>
      <c r="J32" s="26" t="n">
        <v>2790</v>
      </c>
      <c r="K32" s="26" t="n">
        <v>0</v>
      </c>
      <c r="L32" s="26" t="n">
        <v>185</v>
      </c>
      <c r="M32" s="26" t="n">
        <v>33170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9</v>
      </c>
      <c r="M33" s="26" t="n">
        <v>2683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0</v>
      </c>
      <c r="D34" s="26" t="n">
        <v>0</v>
      </c>
      <c r="E34" s="26" t="n">
        <v>5</v>
      </c>
      <c r="F34" s="26" t="n">
        <v>0</v>
      </c>
      <c r="G34" s="26" t="n">
        <v>190</v>
      </c>
      <c r="H34" s="26" t="n">
        <v>11</v>
      </c>
      <c r="I34" s="26" t="n">
        <v>1501</v>
      </c>
      <c r="J34" s="26" t="n">
        <v>3067</v>
      </c>
      <c r="K34" s="26" t="n">
        <v>82</v>
      </c>
      <c r="L34" s="26" t="n">
        <v>80</v>
      </c>
      <c r="M34" s="26" t="n">
        <v>13958</v>
      </c>
      <c r="N34" s="26" t="n">
        <v>0</v>
      </c>
      <c r="O34" s="26" t="n">
        <v>10</v>
      </c>
      <c r="P34" s="26" t="n">
        <v>4</v>
      </c>
      <c r="Q34" s="26" t="n">
        <v>200</v>
      </c>
      <c r="R34" s="26" t="n">
        <v>0</v>
      </c>
      <c r="S34" s="26" t="n">
        <v>11</v>
      </c>
      <c r="T34" s="26" t="n">
        <v>0</v>
      </c>
      <c r="U34" s="26" t="n">
        <v>0</v>
      </c>
      <c r="V34" s="26" t="n">
        <v>3</v>
      </c>
      <c r="W34" s="26" t="n">
        <v>0</v>
      </c>
      <c r="X34" s="26" t="n">
        <v>7</v>
      </c>
      <c r="Y34" s="26" t="n">
        <v>388</v>
      </c>
    </row>
    <row r="35">
      <c r="A35" s="27" t="inlineStr">
        <is>
          <t>Totalt</t>
        </is>
      </c>
      <c r="B35" s="27" t="n">
        <v>0</v>
      </c>
      <c r="C35" s="27" t="n">
        <v>237</v>
      </c>
      <c r="D35" s="27" t="n">
        <v>18</v>
      </c>
      <c r="E35" s="27" t="n">
        <v>955</v>
      </c>
      <c r="F35" s="27" t="n">
        <v>0</v>
      </c>
      <c r="G35" s="27" t="n">
        <v>26695</v>
      </c>
      <c r="H35" s="27" t="n">
        <v>1153</v>
      </c>
      <c r="I35" s="27" t="n">
        <v>102838</v>
      </c>
      <c r="J35" s="27" t="n">
        <v>28992</v>
      </c>
      <c r="K35" s="27" t="n">
        <v>5373</v>
      </c>
      <c r="L35" s="27" t="n">
        <v>4214</v>
      </c>
      <c r="M35" s="27" t="n">
        <v>356014</v>
      </c>
      <c r="N35" s="27" t="n">
        <v>0</v>
      </c>
      <c r="O35" s="27" t="n">
        <v>10</v>
      </c>
      <c r="P35" s="27" t="n">
        <v>4</v>
      </c>
      <c r="Q35" s="27" t="n">
        <v>200</v>
      </c>
      <c r="R35" s="27" t="n">
        <v>0</v>
      </c>
      <c r="S35" s="27" t="n">
        <v>1404</v>
      </c>
      <c r="T35" s="27" t="n">
        <v>88</v>
      </c>
      <c r="U35" s="27" t="n">
        <v>5120</v>
      </c>
      <c r="V35" s="27" t="n">
        <v>810</v>
      </c>
      <c r="W35" s="27" t="n">
        <v>269</v>
      </c>
      <c r="X35" s="27" t="n">
        <v>235</v>
      </c>
      <c r="Y35" s="27" t="n">
        <v>18550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Z42"/>
  <sheetViews>
    <sheetView workbookViewId="0">
      <selection activeCell="A1" sqref="A1"/>
    </sheetView>
  </sheetViews>
  <sheetFormatPr baseColWidth="10" defaultRowHeight="12.75" outlineLevelCol="0"/>
  <cols>
    <col width="37.42578125" customWidth="1" style="23" min="1" max="1"/>
    <col width="6.42578125" bestFit="1" customWidth="1" style="23" min="2" max="2"/>
    <col width="7.42578125" bestFit="1" customWidth="1" style="23" min="3" max="3"/>
    <col width="6.28515625" bestFit="1" customWidth="1" style="23" min="4" max="4"/>
    <col width="8.28515625" bestFit="1" customWidth="1" style="23" min="5" max="5"/>
    <col width="6.42578125" bestFit="1" customWidth="1" style="23" min="6" max="6"/>
    <col width="6.28515625" bestFit="1" customWidth="1" style="23" min="7" max="8"/>
    <col width="8.28515625" bestFit="1" customWidth="1" style="23" min="9" max="9"/>
    <col width="6.42578125" bestFit="1" customWidth="1" style="23" min="10" max="10"/>
    <col width="7.140625" bestFit="1" customWidth="1" style="23" min="11" max="11"/>
    <col width="5.85546875" bestFit="1" customWidth="1" style="23" min="12" max="12"/>
    <col width="8.28515625" bestFit="1" customWidth="1" style="23" min="13" max="13"/>
    <col width="6.42578125" bestFit="1" customWidth="1" style="23" min="14" max="14"/>
    <col width="6.28515625" bestFit="1" customWidth="1" style="23" min="15" max="15"/>
    <col width="5.85546875" bestFit="1" customWidth="1" style="23" min="16" max="16"/>
    <col width="6" bestFit="1" customWidth="1" style="23" min="17" max="17"/>
    <col width="6.42578125" bestFit="1" customWidth="1" style="23" min="18" max="18"/>
    <col width="5.7109375" bestFit="1" customWidth="1" style="23" min="19" max="19"/>
    <col width="5.85546875" bestFit="1" customWidth="1" style="23" min="20" max="20"/>
    <col width="7.140625" bestFit="1" customWidth="1" style="23" min="21" max="21"/>
    <col width="6.42578125" bestFit="1" customWidth="1" style="23" min="22" max="22"/>
    <col width="5.7109375" bestFit="1" customWidth="1" style="23" min="23" max="23"/>
    <col width="5.85546875" bestFit="1" customWidth="1" style="23" min="24" max="24"/>
    <col width="6.5703125" bestFit="1" customWidth="1" style="23" min="25" max="25"/>
    <col width="11.42578125" customWidth="1" style="23" min="26" max="16384"/>
  </cols>
  <sheetData>
    <row r="1" ht="27.75" customFormat="1" customHeight="1" s="2">
      <c r="A1" s="1" t="inlineStr">
        <is>
          <t>Produksjonsoversikt 2025 (PRODUKSJONSOMRÅDE)</t>
        </is>
      </c>
    </row>
    <row r="2" ht="18" customFormat="1" customHeight="1" s="3">
      <c r="A2" s="2" t="inlineStr">
        <is>
          <t>Innrapporterte tall slått sammen for art, produksjonsområde, måned og utsettsår</t>
        </is>
      </c>
    </row>
    <row r="3" customFormat="1" s="5">
      <c r="A3" s="4" t="n"/>
    </row>
    <row r="4" customFormat="1" s="5">
      <c r="A4" s="6" t="inlineStr">
        <is>
          <t>Kilde: Fiskeridirektoratet, månedsrapportering fra oppdretter</t>
        </is>
      </c>
    </row>
    <row r="5" customFormat="1" s="5">
      <c r="A5" s="6" t="inlineStr">
        <is>
          <t>Innrapporterte data pr. 20.08.2026</t>
        </is>
      </c>
    </row>
    <row r="6">
      <c r="A6" s="7" t="n"/>
    </row>
    <row r="8" ht="15.75" customFormat="1" customHeight="1" s="17">
      <c r="A8" s="9" t="inlineStr">
        <is>
          <t>Innrapporterte produksjonstall TOTALT i desember 2025. Tall i 1000 stk</t>
        </is>
      </c>
    </row>
    <row r="9" customFormat="1" s="25">
      <c r="B9" s="25" t="inlineStr">
        <is>
          <t>Totalt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</row>
    <row r="10" customFormat="1" s="17">
      <c r="A10" s="15" t="inlineStr">
        <is>
          <t>Art</t>
        </is>
      </c>
      <c r="B10" s="16" t="inlineStr">
        <is>
          <t>Utsett</t>
        </is>
      </c>
      <c r="C10" s="16" t="inlineStr">
        <is>
          <t>Uttak</t>
        </is>
      </c>
      <c r="D10" s="16" t="inlineStr">
        <is>
          <t>Svinn</t>
        </is>
      </c>
      <c r="E10" s="16" t="inlineStr">
        <is>
          <t>UB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 customFormat="1" s="23">
      <c r="A11" s="23" t="inlineStr">
        <is>
          <t>Laks</t>
        </is>
      </c>
      <c r="B11" s="19">
        <f>B35+F35+J35</f>
        <v/>
      </c>
      <c r="C11" s="19">
        <f>C35+G35+K35</f>
        <v/>
      </c>
      <c r="D11" s="19">
        <f>D35+H35+L35</f>
        <v/>
      </c>
      <c r="E11" s="19">
        <f>E35+I35+M35</f>
        <v/>
      </c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 customFormat="1" s="23">
      <c r="A12" s="23" t="inlineStr">
        <is>
          <t>Regnbueørret</t>
        </is>
      </c>
      <c r="B12" s="19">
        <f>N35+R35+V35</f>
        <v/>
      </c>
      <c r="C12" s="19">
        <f>O35+S35+W35</f>
        <v/>
      </c>
      <c r="D12" s="19">
        <f>P35+T35+X35</f>
        <v/>
      </c>
      <c r="E12" s="19">
        <f>Q35+U35+Y35</f>
        <v/>
      </c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customFormat="1" s="17">
      <c r="A13" s="15" t="inlineStr">
        <is>
          <t>Totalt</t>
        </is>
      </c>
      <c r="B13" s="20">
        <f>SUM(B11:B12)</f>
        <v/>
      </c>
      <c r="C13" s="20">
        <f>SUM(C11:C12)</f>
        <v/>
      </c>
      <c r="D13" s="20">
        <f>SUM(D11:D12)</f>
        <v/>
      </c>
      <c r="E13" s="20">
        <f>SUM(E11:E12)</f>
        <v/>
      </c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7" ht="15.75" customFormat="1" customHeight="1" s="17">
      <c r="A17" s="9" t="inlineStr">
        <is>
          <t>Innrapporterte produksjonstall i desember 2025 fordelt på art, utsettsår og produksjonsområde. Tall i 1000 stk</t>
        </is>
      </c>
    </row>
    <row r="18" ht="15.75" customFormat="1" customHeight="1" s="25">
      <c r="A18" s="21" t="n"/>
      <c r="B18" s="25" t="inlineStr">
        <is>
          <t>Laks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inlineStr">
        <is>
          <t>Regnbueørret</t>
        </is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</row>
    <row r="19" customFormat="1" s="23">
      <c r="B19" s="23" t="inlineStr">
        <is>
          <t>Tidligere utsett</t>
        </is>
      </c>
      <c r="C19" s="23" t="n"/>
      <c r="D19" s="23" t="n"/>
      <c r="E19" s="23" t="n"/>
      <c r="F19" s="23" t="inlineStr">
        <is>
          <t>Fjorårets utsett</t>
        </is>
      </c>
      <c r="G19" s="23" t="n"/>
      <c r="H19" s="23" t="n"/>
      <c r="I19" s="23" t="n"/>
      <c r="J19" s="23" t="inlineStr">
        <is>
          <t>Årets utsett</t>
        </is>
      </c>
      <c r="K19" s="23" t="n"/>
      <c r="L19" s="23" t="n"/>
      <c r="M19" s="23" t="n"/>
      <c r="N19" s="23" t="inlineStr">
        <is>
          <t>Tidligere utsett</t>
        </is>
      </c>
      <c r="O19" s="23" t="n"/>
      <c r="P19" s="23" t="n"/>
      <c r="Q19" s="23" t="n"/>
      <c r="R19" s="23" t="inlineStr">
        <is>
          <t>Fjorårets utsett</t>
        </is>
      </c>
      <c r="S19" s="23" t="n"/>
      <c r="T19" s="23" t="n"/>
      <c r="U19" s="23" t="n"/>
      <c r="V19" s="23" t="inlineStr">
        <is>
          <t>Årets utsett</t>
        </is>
      </c>
      <c r="W19" s="23" t="n"/>
      <c r="X19" s="23" t="n"/>
      <c r="Y19" s="23" t="n"/>
    </row>
    <row r="20" customFormat="1" s="17">
      <c r="A20" s="15" t="inlineStr">
        <is>
          <t>Produksjonsområde:</t>
        </is>
      </c>
      <c r="B20" s="16" t="inlineStr">
        <is>
          <t>Utsett</t>
        </is>
      </c>
      <c r="C20" s="16" t="inlineStr">
        <is>
          <t>Uttak</t>
        </is>
      </c>
      <c r="D20" s="16" t="inlineStr">
        <is>
          <t>Svinn</t>
        </is>
      </c>
      <c r="E20" s="16" t="inlineStr">
        <is>
          <t>UB</t>
        </is>
      </c>
      <c r="F20" s="16" t="inlineStr">
        <is>
          <t>Utsett</t>
        </is>
      </c>
      <c r="G20" s="16" t="inlineStr">
        <is>
          <t>Uttak</t>
        </is>
      </c>
      <c r="H20" s="16" t="inlineStr">
        <is>
          <t>Svinn</t>
        </is>
      </c>
      <c r="I20" s="16" t="inlineStr">
        <is>
          <t>UB</t>
        </is>
      </c>
      <c r="J20" s="16" t="inlineStr">
        <is>
          <t>Utsett</t>
        </is>
      </c>
      <c r="K20" s="16" t="inlineStr">
        <is>
          <t>Uttak</t>
        </is>
      </c>
      <c r="L20" s="16" t="inlineStr">
        <is>
          <t>Svinn</t>
        </is>
      </c>
      <c r="M20" s="16" t="inlineStr">
        <is>
          <t>UB</t>
        </is>
      </c>
      <c r="N20" s="16" t="inlineStr">
        <is>
          <t>Utsett</t>
        </is>
      </c>
      <c r="O20" s="16" t="inlineStr">
        <is>
          <t>Uttak</t>
        </is>
      </c>
      <c r="P20" s="16" t="inlineStr">
        <is>
          <t>Svinn</t>
        </is>
      </c>
      <c r="Q20" s="16" t="inlineStr">
        <is>
          <t>UB</t>
        </is>
      </c>
      <c r="R20" s="16" t="inlineStr">
        <is>
          <t>Utsett</t>
        </is>
      </c>
      <c r="S20" s="16" t="inlineStr">
        <is>
          <t>Uttak</t>
        </is>
      </c>
      <c r="T20" s="16" t="inlineStr">
        <is>
          <t>Svinn</t>
        </is>
      </c>
      <c r="U20" s="16" t="inlineStr">
        <is>
          <t>UB</t>
        </is>
      </c>
      <c r="V20" s="16" t="inlineStr">
        <is>
          <t>Utsett</t>
        </is>
      </c>
      <c r="W20" s="16" t="inlineStr">
        <is>
          <t>Uttak</t>
        </is>
      </c>
      <c r="X20" s="16" t="inlineStr">
        <is>
          <t>Svinn</t>
        </is>
      </c>
      <c r="Y20" s="16" t="inlineStr">
        <is>
          <t>UB</t>
        </is>
      </c>
    </row>
    <row r="21">
      <c r="A21" s="26" t="inlineStr">
        <is>
          <t>Område 1: Svenskegrensen til Jæren</t>
        </is>
      </c>
      <c r="B21" s="26" t="n">
        <v>0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108</v>
      </c>
      <c r="H21" s="26" t="n">
        <v>9</v>
      </c>
      <c r="I21" s="26" t="n">
        <v>311</v>
      </c>
      <c r="J21" s="26" t="n">
        <v>0</v>
      </c>
      <c r="K21" s="26" t="n">
        <v>113</v>
      </c>
      <c r="L21" s="26" t="n">
        <v>252</v>
      </c>
      <c r="M21" s="26" t="n">
        <v>5314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</row>
    <row r="22">
      <c r="A22" s="26" t="inlineStr">
        <is>
          <t>Område 2: Ryfylke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1374</v>
      </c>
      <c r="H22" s="26" t="n">
        <v>133</v>
      </c>
      <c r="I22" s="26" t="n">
        <v>3240</v>
      </c>
      <c r="J22" s="26" t="n">
        <v>314</v>
      </c>
      <c r="K22" s="26" t="n">
        <v>497</v>
      </c>
      <c r="L22" s="26" t="n">
        <v>110</v>
      </c>
      <c r="M22" s="26" t="n">
        <v>15722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</row>
    <row r="23" ht="15.75" customFormat="1" customHeight="1" s="17">
      <c r="A23" s="26" t="inlineStr">
        <is>
          <t>Område 3: Karmøy til Sotra</t>
        </is>
      </c>
      <c r="B23" s="26" t="n">
        <v>0</v>
      </c>
      <c r="C23" s="26" t="n">
        <v>86</v>
      </c>
      <c r="D23" s="26" t="n">
        <v>6</v>
      </c>
      <c r="E23" s="26" t="n">
        <v>140</v>
      </c>
      <c r="F23" s="26" t="n">
        <v>0</v>
      </c>
      <c r="G23" s="26" t="n">
        <v>1463</v>
      </c>
      <c r="H23" s="26" t="n">
        <v>100</v>
      </c>
      <c r="I23" s="26" t="n">
        <v>4085</v>
      </c>
      <c r="J23" s="26" t="n">
        <v>850</v>
      </c>
      <c r="K23" s="26" t="n">
        <v>1064</v>
      </c>
      <c r="L23" s="26" t="n">
        <v>269</v>
      </c>
      <c r="M23" s="26" t="n">
        <v>35601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204</v>
      </c>
      <c r="T23" s="26" t="n">
        <v>42</v>
      </c>
      <c r="U23" s="26" t="n">
        <v>1721</v>
      </c>
      <c r="V23" s="26" t="n">
        <v>151</v>
      </c>
      <c r="W23" s="26" t="n">
        <v>78</v>
      </c>
      <c r="X23" s="26" t="n">
        <v>178</v>
      </c>
      <c r="Y23" s="26" t="n">
        <v>5001</v>
      </c>
    </row>
    <row r="24">
      <c r="A24" s="26" t="inlineStr">
        <is>
          <t>Område 4: Nordhordland til Stadt</t>
        </is>
      </c>
      <c r="B24" s="26" t="n">
        <v>0</v>
      </c>
      <c r="C24" s="26" t="n">
        <v>0</v>
      </c>
      <c r="D24" s="26" t="n">
        <v>5</v>
      </c>
      <c r="E24" s="26" t="n">
        <v>721</v>
      </c>
      <c r="F24" s="26" t="n">
        <v>0</v>
      </c>
      <c r="G24" s="26" t="n">
        <v>1074</v>
      </c>
      <c r="H24" s="26" t="n">
        <v>72</v>
      </c>
      <c r="I24" s="26" t="n">
        <v>1674</v>
      </c>
      <c r="J24" s="26" t="n">
        <v>280</v>
      </c>
      <c r="K24" s="26" t="n">
        <v>2725</v>
      </c>
      <c r="L24" s="26" t="n">
        <v>538</v>
      </c>
      <c r="M24" s="26" t="n">
        <v>26574</v>
      </c>
      <c r="N24" s="26" t="n">
        <v>0</v>
      </c>
      <c r="O24" s="26" t="n">
        <v>0</v>
      </c>
      <c r="P24" s="26" t="n">
        <v>0</v>
      </c>
      <c r="Q24" s="26" t="n">
        <v>0</v>
      </c>
      <c r="R24" s="26" t="n">
        <v>0</v>
      </c>
      <c r="S24" s="26" t="n">
        <v>998</v>
      </c>
      <c r="T24" s="26" t="n">
        <v>40</v>
      </c>
      <c r="U24" s="26" t="n">
        <v>2120</v>
      </c>
      <c r="V24" s="26" t="n">
        <v>648</v>
      </c>
      <c r="W24" s="26" t="n">
        <v>264</v>
      </c>
      <c r="X24" s="26" t="n">
        <v>130</v>
      </c>
      <c r="Y24" s="26" t="n">
        <v>11851</v>
      </c>
    </row>
    <row r="25">
      <c r="A25" s="26" t="inlineStr">
        <is>
          <t>Område 5: Stadt til Hustadvika</t>
        </is>
      </c>
      <c r="B25" s="26" t="n">
        <v>0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588</v>
      </c>
      <c r="H25" s="26" t="n">
        <v>9</v>
      </c>
      <c r="I25" s="26" t="n">
        <v>759</v>
      </c>
      <c r="J25" s="26" t="n">
        <v>181</v>
      </c>
      <c r="K25" s="26" t="n">
        <v>145</v>
      </c>
      <c r="L25" s="26" t="n">
        <v>107</v>
      </c>
      <c r="M25" s="26" t="n">
        <v>16402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0</v>
      </c>
      <c r="T25" s="26" t="n">
        <v>0</v>
      </c>
      <c r="U25" s="26" t="n">
        <v>0</v>
      </c>
      <c r="V25" s="26" t="n">
        <v>0</v>
      </c>
      <c r="W25" s="26" t="n">
        <v>138</v>
      </c>
      <c r="X25" s="26" t="n">
        <v>13</v>
      </c>
      <c r="Y25" s="26" t="n">
        <v>1452</v>
      </c>
    </row>
    <row r="26">
      <c r="A26" s="26" t="inlineStr">
        <is>
          <t>Område 6: Nordmøre og Sør-Trøndelag</t>
        </is>
      </c>
      <c r="B26" s="26" t="n">
        <v>0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3318</v>
      </c>
      <c r="H26" s="26" t="n">
        <v>210</v>
      </c>
      <c r="I26" s="26" t="n">
        <v>15536</v>
      </c>
      <c r="J26" s="26" t="n">
        <v>7911</v>
      </c>
      <c r="K26" s="26" t="n">
        <v>1417</v>
      </c>
      <c r="L26" s="26" t="n">
        <v>715</v>
      </c>
      <c r="M26" s="26" t="n">
        <v>62988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0</v>
      </c>
    </row>
    <row r="27">
      <c r="A27" s="26" t="inlineStr">
        <is>
          <t>Område 7: Nord-Trøndelag med Bindal</t>
        </is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2195</v>
      </c>
      <c r="H27" s="26" t="n">
        <v>60</v>
      </c>
      <c r="I27" s="26" t="n">
        <v>9572</v>
      </c>
      <c r="J27" s="26" t="n">
        <v>1999</v>
      </c>
      <c r="K27" s="26" t="n">
        <v>185</v>
      </c>
      <c r="L27" s="26" t="n">
        <v>172</v>
      </c>
      <c r="M27" s="26" t="n">
        <v>28205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>
        <v>0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</row>
    <row r="28">
      <c r="A28" s="26" t="inlineStr">
        <is>
          <t>Område 8: Helgeland til Bodø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2460</v>
      </c>
      <c r="H28" s="26" t="n">
        <v>41</v>
      </c>
      <c r="I28" s="26" t="n">
        <v>8985</v>
      </c>
      <c r="J28" s="26" t="n">
        <v>3738</v>
      </c>
      <c r="K28" s="26" t="n">
        <v>73</v>
      </c>
      <c r="L28" s="26" t="n">
        <v>203</v>
      </c>
      <c r="M28" s="26" t="n">
        <v>39632</v>
      </c>
      <c r="N28" s="26" t="n">
        <v>0</v>
      </c>
      <c r="O28" s="26" t="n">
        <v>0</v>
      </c>
      <c r="P28" s="26" t="n">
        <v>0</v>
      </c>
      <c r="Q28" s="26" t="n">
        <v>0</v>
      </c>
      <c r="R28" s="26" t="n">
        <v>0</v>
      </c>
      <c r="S28" s="26" t="n">
        <v>0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</row>
    <row r="29">
      <c r="A29" s="26" t="inlineStr">
        <is>
          <t>Område 9: Vestfjorden og Vesterålen</t>
        </is>
      </c>
      <c r="B29" s="26" t="n">
        <v>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2304</v>
      </c>
      <c r="H29" s="26" t="n">
        <v>78</v>
      </c>
      <c r="I29" s="26" t="n">
        <v>8331</v>
      </c>
      <c r="J29" s="26" t="n">
        <v>894</v>
      </c>
      <c r="K29" s="26" t="n">
        <v>298</v>
      </c>
      <c r="L29" s="26" t="n">
        <v>435</v>
      </c>
      <c r="M29" s="26" t="n">
        <v>41870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179</v>
      </c>
    </row>
    <row r="30">
      <c r="A30" s="26" t="inlineStr">
        <is>
          <t>Område 10: Andøya til Senja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2767</v>
      </c>
      <c r="H30" s="26" t="n">
        <v>68</v>
      </c>
      <c r="I30" s="26" t="n">
        <v>12256</v>
      </c>
      <c r="J30" s="26" t="n">
        <v>97</v>
      </c>
      <c r="K30" s="26" t="n">
        <v>45</v>
      </c>
      <c r="L30" s="26" t="n">
        <v>190</v>
      </c>
      <c r="M30" s="26" t="n">
        <v>33599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</row>
    <row r="31">
      <c r="A31" s="26" t="inlineStr">
        <is>
          <t>Område 11: Kvaløy til Loppa</t>
        </is>
      </c>
      <c r="B31" s="26" t="n">
        <v>0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1497</v>
      </c>
      <c r="H31" s="26" t="n">
        <v>-36</v>
      </c>
      <c r="I31" s="26" t="n">
        <v>1772</v>
      </c>
      <c r="J31" s="26" t="n">
        <v>0</v>
      </c>
      <c r="K31" s="26" t="n">
        <v>0</v>
      </c>
      <c r="L31" s="26" t="n">
        <v>73</v>
      </c>
      <c r="M31" s="26" t="n">
        <v>21914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</row>
    <row r="32">
      <c r="A32" s="26" t="inlineStr">
        <is>
          <t>Område 12: Vest-Finnmark</t>
        </is>
      </c>
      <c r="B32" s="26" t="n">
        <v>0</v>
      </c>
      <c r="C32" s="26" t="n">
        <v>0</v>
      </c>
      <c r="D32" s="26" t="n">
        <v>0</v>
      </c>
      <c r="E32" s="26" t="n">
        <v>0</v>
      </c>
      <c r="F32" s="26" t="n">
        <v>0</v>
      </c>
      <c r="G32" s="26" t="n">
        <v>1471</v>
      </c>
      <c r="H32" s="26" t="n">
        <v>19</v>
      </c>
      <c r="I32" s="26" t="n">
        <v>12902</v>
      </c>
      <c r="J32" s="26" t="n">
        <v>796</v>
      </c>
      <c r="K32" s="26" t="n">
        <v>0</v>
      </c>
      <c r="L32" s="26" t="n">
        <v>248</v>
      </c>
      <c r="M32" s="26" t="n">
        <v>34275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</row>
    <row r="33">
      <c r="A33" s="26" t="inlineStr">
        <is>
          <t>Område 13: Øst-Finnmark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9</v>
      </c>
      <c r="M33" s="26" t="n">
        <v>2674</v>
      </c>
      <c r="N33" s="26" t="n">
        <v>0</v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</row>
    <row r="34">
      <c r="A34" s="26" t="inlineStr">
        <is>
          <t>Stamfisk, forskning og undervisning</t>
        </is>
      </c>
      <c r="B34" s="26" t="n">
        <v>0</v>
      </c>
      <c r="C34" s="26" t="n">
        <v>0</v>
      </c>
      <c r="D34" s="26" t="n">
        <v>0</v>
      </c>
      <c r="E34" s="26" t="n">
        <v>3</v>
      </c>
      <c r="F34" s="26" t="n">
        <v>0</v>
      </c>
      <c r="G34" s="26" t="n">
        <v>120</v>
      </c>
      <c r="H34" s="26" t="n">
        <v>26</v>
      </c>
      <c r="I34" s="26" t="n">
        <v>1362</v>
      </c>
      <c r="J34" s="26" t="n">
        <v>602</v>
      </c>
      <c r="K34" s="26" t="n">
        <v>204</v>
      </c>
      <c r="L34" s="26" t="n">
        <v>244</v>
      </c>
      <c r="M34" s="26" t="n">
        <v>16097</v>
      </c>
      <c r="N34" s="26" t="n">
        <v>0</v>
      </c>
      <c r="O34" s="26" t="n">
        <v>0</v>
      </c>
      <c r="P34" s="26" t="n">
        <v>1</v>
      </c>
      <c r="Q34" s="26" t="n">
        <v>198</v>
      </c>
      <c r="R34" s="26" t="n">
        <v>0</v>
      </c>
      <c r="S34" s="26" t="n">
        <v>0</v>
      </c>
      <c r="T34" s="26" t="n">
        <v>0</v>
      </c>
      <c r="U34" s="26" t="n">
        <v>0</v>
      </c>
      <c r="V34" s="26" t="n">
        <v>0</v>
      </c>
      <c r="W34" s="26" t="n">
        <v>0</v>
      </c>
      <c r="X34" s="26" t="n">
        <v>3</v>
      </c>
      <c r="Y34" s="26" t="n">
        <v>385</v>
      </c>
    </row>
    <row r="35">
      <c r="A35" s="27" t="inlineStr">
        <is>
          <t>Totalt</t>
        </is>
      </c>
      <c r="B35" s="27" t="n">
        <v>0</v>
      </c>
      <c r="C35" s="27" t="n">
        <v>86</v>
      </c>
      <c r="D35" s="27" t="n">
        <v>11</v>
      </c>
      <c r="E35" s="27" t="n">
        <v>864</v>
      </c>
      <c r="F35" s="27" t="n">
        <v>0</v>
      </c>
      <c r="G35" s="27" t="n">
        <v>20737</v>
      </c>
      <c r="H35" s="27" t="n">
        <v>790</v>
      </c>
      <c r="I35" s="27" t="n">
        <v>80784</v>
      </c>
      <c r="J35" s="27" t="n">
        <v>17661</v>
      </c>
      <c r="K35" s="27" t="n">
        <v>6765</v>
      </c>
      <c r="L35" s="27" t="n">
        <v>3565</v>
      </c>
      <c r="M35" s="27" t="n">
        <v>380868</v>
      </c>
      <c r="N35" s="27" t="n">
        <v>0</v>
      </c>
      <c r="O35" s="27" t="n">
        <v>0</v>
      </c>
      <c r="P35" s="27" t="n">
        <v>1</v>
      </c>
      <c r="Q35" s="27" t="n">
        <v>198</v>
      </c>
      <c r="R35" s="27" t="n">
        <v>0</v>
      </c>
      <c r="S35" s="27" t="n">
        <v>1202</v>
      </c>
      <c r="T35" s="27" t="n">
        <v>82</v>
      </c>
      <c r="U35" s="27" t="n">
        <v>3842</v>
      </c>
      <c r="V35" s="27" t="n">
        <v>799</v>
      </c>
      <c r="W35" s="27" t="n">
        <v>481</v>
      </c>
      <c r="X35" s="27" t="n">
        <v>324</v>
      </c>
      <c r="Y35" s="27" t="n">
        <v>18869</v>
      </c>
    </row>
    <row r="36"/>
    <row r="37"/>
    <row r="38">
      <c r="A38" s="9" t="inlineStr">
        <is>
          <t>Forklaring</t>
        </is>
      </c>
    </row>
    <row r="39">
      <c r="A39" s="23" t="inlineStr">
        <is>
          <t>Utsett = rapportert utsett av smolt/settefisk i løpet av måneden</t>
        </is>
      </c>
    </row>
    <row r="40">
      <c r="A40" s="23" t="inlineStr">
        <is>
          <t>Uttak = rapportert uttak av fisk i løpet av måneden</t>
        </is>
      </c>
    </row>
    <row r="41">
      <c r="A41" s="23" t="inlineStr">
        <is>
          <t>Svinn = registrert tap av fisk i løpet av måneden</t>
        </is>
      </c>
    </row>
    <row r="42">
      <c r="A42" s="23" t="inlineStr">
        <is>
          <t>UB = rapportert utgående beholdning av fisk ved slutten av måneden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2022-02-17T07:33:25Z</dcterms:created>
  <dcterms:modified xmlns:dcterms="http://purl.org/dc/terms/" xmlns:xsi="http://www.w3.org/2001/XMLSchema-instance" xsi:type="dcterms:W3CDTF">2026-08-20T04:32:47Z</dcterms:modified>
  <cp:lastModifiedBy>Stein Olav Kolle</cp:lastModifiedBy>
</cp:coreProperties>
</file>