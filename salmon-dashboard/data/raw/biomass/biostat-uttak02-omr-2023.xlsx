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januar" sheetId="1" state="visible" r:id="rId1"/>
    <sheet xmlns:r="http://schemas.openxmlformats.org/officeDocument/2006/relationships" name="februa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i" sheetId="6" state="visible" r:id="rId6"/>
    <sheet xmlns:r="http://schemas.openxmlformats.org/officeDocument/2006/relationships" name="juli" sheetId="7" state="visible" r:id="rId7"/>
    <sheet xmlns:r="http://schemas.openxmlformats.org/officeDocument/2006/relationships" name="august" sheetId="8" state="visible" r:id="rId8"/>
    <sheet xmlns:r="http://schemas.openxmlformats.org/officeDocument/2006/relationships" name="september" sheetId="9" state="visible" r:id="rId9"/>
    <sheet xmlns:r="http://schemas.openxmlformats.org/officeDocument/2006/relationships" name="oktober" sheetId="10" state="visible" r:id="rId10"/>
    <sheet xmlns:r="http://schemas.openxmlformats.org/officeDocument/2006/relationships" name="november" sheetId="11" state="visible" r:id="rId11"/>
    <sheet xmlns:r="http://schemas.openxmlformats.org/officeDocument/2006/relationships" name="desemb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14]mmmm\ yyyy;@"/>
  </numFmts>
  <fonts count="19">
    <font>
      <name val="Calibri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color rgb="FF14406B"/>
      <sz val="14"/>
    </font>
    <font>
      <name val="Arial"/>
      <family val="2"/>
      <b val="1"/>
      <sz val="14"/>
    </font>
    <font>
      <name val="Arial"/>
      <family val="2"/>
      <b val="1"/>
      <color rgb="FF14406B"/>
      <sz val="10"/>
    </font>
    <font>
      <name val="Arial"/>
      <family val="2"/>
      <color rgb="FF0033A0"/>
      <sz val="10"/>
    </font>
    <font>
      <name val="Arial"/>
      <family val="2"/>
      <color theme="3" tint="0.3999755851924192"/>
      <sz val="10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2"/>
    </font>
    <font>
      <name val="Arial"/>
      <family val="2"/>
      <b val="1"/>
      <color rgb="FF14406B"/>
      <sz val="9"/>
    </font>
    <font>
      <name val="Arial"/>
      <family val="2"/>
      <color theme="1"/>
      <sz val="9"/>
    </font>
    <font>
      <name val="Arial"/>
      <family val="2"/>
      <b val="1"/>
      <color indexed="8"/>
      <sz val="12"/>
    </font>
    <font>
      <name val="Arial"/>
      <family val="2"/>
      <b val="1"/>
      <color indexed="8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8" fillId="0" borderId="0" pivotButton="0" quotePrefix="0" xfId="0"/>
    <xf numFmtId="3" fontId="8" fillId="0" borderId="0" pivotButton="0" quotePrefix="0" xfId="0"/>
    <xf numFmtId="0" fontId="8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0" pivotButton="0" quotePrefix="0" xfId="0"/>
    <xf numFmtId="0" fontId="11" fillId="2" borderId="0" pivotButton="0" quotePrefix="0" xfId="0"/>
    <xf numFmtId="0" fontId="11" fillId="2" borderId="0" applyAlignment="1" pivotButton="0" quotePrefix="0" xfId="0">
      <alignment horizontal="right"/>
    </xf>
    <xf numFmtId="0" fontId="10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1" fontId="8" fillId="0" borderId="0" pivotButton="0" quotePrefix="0" xfId="0"/>
    <xf numFmtId="3" fontId="11" fillId="2" borderId="0" pivotButton="0" quotePrefix="0" xfId="0"/>
    <xf numFmtId="0" fontId="12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7" fillId="0" borderId="0" pivotButton="0" quotePrefix="0" xfId="0"/>
    <xf numFmtId="0" fontId="18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2023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januar 2023.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januar 2023.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393</v>
      </c>
      <c r="C21" s="36" t="n">
        <v>2125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1498</v>
      </c>
      <c r="C22" s="36" t="n">
        <v>8366</v>
      </c>
      <c r="D22" s="36" t="n">
        <v>494</v>
      </c>
      <c r="E22" s="36" t="n">
        <v>1860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933</v>
      </c>
      <c r="C23" s="36" t="n">
        <v>5060</v>
      </c>
      <c r="D23" s="36" t="n">
        <v>1686</v>
      </c>
      <c r="E23" s="36" t="n">
        <v>7428</v>
      </c>
      <c r="F23" s="36" t="n">
        <v>0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1217</v>
      </c>
      <c r="C24" s="36" t="n">
        <v>6231</v>
      </c>
      <c r="D24" s="36" t="n">
        <v>783</v>
      </c>
      <c r="E24" s="36" t="n">
        <v>1701</v>
      </c>
      <c r="F24" s="36" t="n">
        <v>0</v>
      </c>
      <c r="G24" s="36" t="n">
        <v>0</v>
      </c>
      <c r="H24" s="36" t="n">
        <v>449</v>
      </c>
      <c r="I24" s="36" t="n">
        <v>1807</v>
      </c>
      <c r="J24" s="36" t="n">
        <v>537</v>
      </c>
      <c r="K24" s="36" t="n">
        <v>1848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271</v>
      </c>
      <c r="C25" s="36" t="n">
        <v>1656</v>
      </c>
      <c r="D25" s="36" t="n">
        <v>119</v>
      </c>
      <c r="E25" s="36" t="n">
        <v>359</v>
      </c>
      <c r="F25" s="36" t="n">
        <v>0</v>
      </c>
      <c r="G25" s="36" t="n">
        <v>0</v>
      </c>
      <c r="H25" s="36" t="n">
        <v>117</v>
      </c>
      <c r="I25" s="36" t="n">
        <v>510</v>
      </c>
      <c r="J25" s="36" t="n">
        <v>50</v>
      </c>
      <c r="K25" s="36" t="n">
        <v>183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2557</v>
      </c>
      <c r="C26" s="36" t="n">
        <v>12286</v>
      </c>
      <c r="D26" s="36" t="n">
        <v>1083</v>
      </c>
      <c r="E26" s="36" t="n">
        <v>3985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1119</v>
      </c>
      <c r="C27" s="36" t="n">
        <v>6282</v>
      </c>
      <c r="D27" s="36" t="n">
        <v>65</v>
      </c>
      <c r="E27" s="36" t="n">
        <v>339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2126</v>
      </c>
      <c r="C28" s="36" t="n">
        <v>9516</v>
      </c>
      <c r="D28" s="36" t="n">
        <v>322</v>
      </c>
      <c r="E28" s="36" t="n">
        <v>1435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2896</v>
      </c>
      <c r="C29" s="36" t="n">
        <v>14099</v>
      </c>
      <c r="D29" s="36" t="n">
        <v>579</v>
      </c>
      <c r="E29" s="36" t="n">
        <v>2323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1686</v>
      </c>
      <c r="C30" s="36" t="n">
        <v>9486</v>
      </c>
      <c r="D30" s="36" t="n">
        <v>0</v>
      </c>
      <c r="E30" s="36" t="n">
        <v>0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852</v>
      </c>
      <c r="C31" s="36" t="n">
        <v>3822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1494</v>
      </c>
      <c r="C32" s="36" t="n">
        <v>8352</v>
      </c>
      <c r="D32" s="36" t="n">
        <v>0</v>
      </c>
      <c r="E32" s="36" t="n">
        <v>0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443</v>
      </c>
      <c r="C33" s="36" t="n">
        <v>2064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503</v>
      </c>
      <c r="C34" s="36" t="n">
        <v>2509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94</v>
      </c>
      <c r="K34" s="36" t="n">
        <v>420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17988</v>
      </c>
      <c r="C35" s="37" t="n">
        <v>91855</v>
      </c>
      <c r="D35" s="37" t="n">
        <v>5132</v>
      </c>
      <c r="E35" s="37" t="n">
        <v>19431</v>
      </c>
      <c r="F35" s="37" t="n">
        <v>0</v>
      </c>
      <c r="G35" s="37" t="n">
        <v>0</v>
      </c>
      <c r="H35" s="37" t="n">
        <v>566</v>
      </c>
      <c r="I35" s="37" t="n">
        <v>2317</v>
      </c>
      <c r="J35" s="37" t="n">
        <v>681</v>
      </c>
      <c r="K35" s="37" t="n">
        <v>2450</v>
      </c>
      <c r="L35" s="37" t="n">
        <v>0</v>
      </c>
      <c r="M35" s="37" t="n">
        <v>0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2023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februar 2023.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februar 2023.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830</v>
      </c>
      <c r="C21" s="36" t="n">
        <v>5009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939</v>
      </c>
      <c r="C22" s="36" t="n">
        <v>4889</v>
      </c>
      <c r="D22" s="36" t="n">
        <v>332</v>
      </c>
      <c r="E22" s="36" t="n">
        <v>1540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344</v>
      </c>
      <c r="C23" s="36" t="n">
        <v>1890</v>
      </c>
      <c r="D23" s="36" t="n">
        <v>1735</v>
      </c>
      <c r="E23" s="36" t="n">
        <v>8514</v>
      </c>
      <c r="F23" s="36" t="n">
        <v>0</v>
      </c>
      <c r="G23" s="36" t="n">
        <v>0</v>
      </c>
      <c r="H23" s="36" t="n">
        <v>0</v>
      </c>
      <c r="I23" s="36" t="n">
        <v>0</v>
      </c>
      <c r="J23" s="36" t="n">
        <v>73</v>
      </c>
      <c r="K23" s="36" t="n">
        <v>287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696</v>
      </c>
      <c r="C24" s="36" t="n">
        <v>3888</v>
      </c>
      <c r="D24" s="36" t="n">
        <v>705</v>
      </c>
      <c r="E24" s="36" t="n">
        <v>2887</v>
      </c>
      <c r="F24" s="36" t="n">
        <v>57</v>
      </c>
      <c r="G24" s="36" t="n">
        <v>231</v>
      </c>
      <c r="H24" s="36" t="n">
        <v>71</v>
      </c>
      <c r="I24" s="36" t="n">
        <v>276</v>
      </c>
      <c r="J24" s="36" t="n">
        <v>798</v>
      </c>
      <c r="K24" s="36" t="n">
        <v>2906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570</v>
      </c>
      <c r="C25" s="36" t="n">
        <v>3490</v>
      </c>
      <c r="D25" s="36" t="n">
        <v>384</v>
      </c>
      <c r="E25" s="36" t="n">
        <v>1275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73</v>
      </c>
      <c r="K25" s="36" t="n">
        <v>300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2393</v>
      </c>
      <c r="C26" s="36" t="n">
        <v>13069</v>
      </c>
      <c r="D26" s="36" t="n">
        <v>536</v>
      </c>
      <c r="E26" s="36" t="n">
        <v>1875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655</v>
      </c>
      <c r="C27" s="36" t="n">
        <v>3676</v>
      </c>
      <c r="D27" s="36" t="n">
        <v>257</v>
      </c>
      <c r="E27" s="36" t="n">
        <v>1282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1199</v>
      </c>
      <c r="C28" s="36" t="n">
        <v>5989</v>
      </c>
      <c r="D28" s="36" t="n">
        <v>540</v>
      </c>
      <c r="E28" s="36" t="n">
        <v>2213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2793</v>
      </c>
      <c r="C29" s="36" t="n">
        <v>13630</v>
      </c>
      <c r="D29" s="36" t="n">
        <v>11</v>
      </c>
      <c r="E29" s="36" t="n">
        <v>36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2093</v>
      </c>
      <c r="C30" s="36" t="n">
        <v>10197</v>
      </c>
      <c r="D30" s="36" t="n">
        <v>0</v>
      </c>
      <c r="E30" s="36" t="n">
        <v>0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312</v>
      </c>
      <c r="C31" s="36" t="n">
        <v>1396</v>
      </c>
      <c r="D31" s="36" t="n">
        <v>88</v>
      </c>
      <c r="E31" s="36" t="n">
        <v>155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2228</v>
      </c>
      <c r="C32" s="36" t="n">
        <v>10312</v>
      </c>
      <c r="D32" s="36" t="n">
        <v>0</v>
      </c>
      <c r="E32" s="36" t="n">
        <v>0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623</v>
      </c>
      <c r="C33" s="36" t="n">
        <v>2877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117</v>
      </c>
      <c r="C34" s="36" t="n">
        <v>692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0</v>
      </c>
      <c r="K34" s="36" t="n">
        <v>0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15793</v>
      </c>
      <c r="C35" s="37" t="n">
        <v>81005</v>
      </c>
      <c r="D35" s="37" t="n">
        <v>4589</v>
      </c>
      <c r="E35" s="37" t="n">
        <v>19777</v>
      </c>
      <c r="F35" s="37" t="n">
        <v>57</v>
      </c>
      <c r="G35" s="37" t="n">
        <v>231</v>
      </c>
      <c r="H35" s="37" t="n">
        <v>71</v>
      </c>
      <c r="I35" s="37" t="n">
        <v>276</v>
      </c>
      <c r="J35" s="37" t="n">
        <v>944</v>
      </c>
      <c r="K35" s="37" t="n">
        <v>3494</v>
      </c>
      <c r="L35" s="37" t="n">
        <v>0</v>
      </c>
      <c r="M35" s="37" t="n">
        <v>0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2023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mars 2023.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mars 2023.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982</v>
      </c>
      <c r="C21" s="36" t="n">
        <v>6275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1076</v>
      </c>
      <c r="C22" s="36" t="n">
        <v>6938</v>
      </c>
      <c r="D22" s="36" t="n">
        <v>322</v>
      </c>
      <c r="E22" s="36" t="n">
        <v>1139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221</v>
      </c>
      <c r="C23" s="36" t="n">
        <v>1122</v>
      </c>
      <c r="D23" s="36" t="n">
        <v>2741</v>
      </c>
      <c r="E23" s="36" t="n">
        <v>13031</v>
      </c>
      <c r="F23" s="36" t="n">
        <v>0</v>
      </c>
      <c r="G23" s="36" t="n">
        <v>0</v>
      </c>
      <c r="H23" s="36" t="n">
        <v>0</v>
      </c>
      <c r="I23" s="36" t="n">
        <v>0</v>
      </c>
      <c r="J23" s="36" t="n">
        <v>74</v>
      </c>
      <c r="K23" s="36" t="n">
        <v>293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240</v>
      </c>
      <c r="C24" s="36" t="n">
        <v>987</v>
      </c>
      <c r="D24" s="36" t="n">
        <v>636</v>
      </c>
      <c r="E24" s="36" t="n">
        <v>2934</v>
      </c>
      <c r="F24" s="36" t="n">
        <v>54</v>
      </c>
      <c r="G24" s="36" t="n">
        <v>243</v>
      </c>
      <c r="H24" s="36" t="n">
        <v>47</v>
      </c>
      <c r="I24" s="36" t="n">
        <v>189</v>
      </c>
      <c r="J24" s="36" t="n">
        <v>892</v>
      </c>
      <c r="K24" s="36" t="n">
        <v>3569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82</v>
      </c>
      <c r="C25" s="36" t="n">
        <v>465</v>
      </c>
      <c r="D25" s="36" t="n">
        <v>609</v>
      </c>
      <c r="E25" s="36" t="n">
        <v>2660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111</v>
      </c>
      <c r="K25" s="36" t="n">
        <v>409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2926</v>
      </c>
      <c r="C26" s="36" t="n">
        <v>15739</v>
      </c>
      <c r="D26" s="36" t="n">
        <v>729</v>
      </c>
      <c r="E26" s="36" t="n">
        <v>2841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419</v>
      </c>
      <c r="C27" s="36" t="n">
        <v>2523</v>
      </c>
      <c r="D27" s="36" t="n">
        <v>539</v>
      </c>
      <c r="E27" s="36" t="n">
        <v>2570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1926</v>
      </c>
      <c r="C28" s="36" t="n">
        <v>9512</v>
      </c>
      <c r="D28" s="36" t="n">
        <v>598</v>
      </c>
      <c r="E28" s="36" t="n">
        <v>2718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2630</v>
      </c>
      <c r="C29" s="36" t="n">
        <v>14479</v>
      </c>
      <c r="D29" s="36" t="n">
        <v>883</v>
      </c>
      <c r="E29" s="36" t="n">
        <v>3391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2067</v>
      </c>
      <c r="C30" s="36" t="n">
        <v>10350</v>
      </c>
      <c r="D30" s="36" t="n">
        <v>29</v>
      </c>
      <c r="E30" s="36" t="n">
        <v>114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964</v>
      </c>
      <c r="C31" s="36" t="n">
        <v>5007</v>
      </c>
      <c r="D31" s="36" t="n">
        <v>84</v>
      </c>
      <c r="E31" s="36" t="n">
        <v>233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1064</v>
      </c>
      <c r="C32" s="36" t="n">
        <v>4471</v>
      </c>
      <c r="D32" s="36" t="n">
        <v>169</v>
      </c>
      <c r="E32" s="36" t="n">
        <v>313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71</v>
      </c>
      <c r="C33" s="36" t="n">
        <v>326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53</v>
      </c>
      <c r="C34" s="36" t="n">
        <v>506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0</v>
      </c>
      <c r="K34" s="36" t="n">
        <v>0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14720</v>
      </c>
      <c r="C35" s="37" t="n">
        <v>78700</v>
      </c>
      <c r="D35" s="37" t="n">
        <v>7339</v>
      </c>
      <c r="E35" s="37" t="n">
        <v>31943</v>
      </c>
      <c r="F35" s="37" t="n">
        <v>54</v>
      </c>
      <c r="G35" s="37" t="n">
        <v>243</v>
      </c>
      <c r="H35" s="37" t="n">
        <v>47</v>
      </c>
      <c r="I35" s="37" t="n">
        <v>189</v>
      </c>
      <c r="J35" s="37" t="n">
        <v>1077</v>
      </c>
      <c r="K35" s="37" t="n">
        <v>4271</v>
      </c>
      <c r="L35" s="37" t="n">
        <v>0</v>
      </c>
      <c r="M35" s="37" t="n">
        <v>0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2023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april 2023.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B34</f>
        <v/>
      </c>
      <c r="C12" s="27">
        <f>C34</f>
        <v/>
      </c>
      <c r="D12" s="27">
        <f>D34</f>
        <v/>
      </c>
      <c r="E12" s="27">
        <f>E34</f>
        <v/>
      </c>
      <c r="F12" s="27">
        <f>F34</f>
        <v/>
      </c>
      <c r="G12" s="27">
        <f>G34</f>
        <v/>
      </c>
    </row>
    <row r="13" customFormat="1" s="26">
      <c r="A13" s="26" t="inlineStr">
        <is>
          <t>Regnbueørret</t>
        </is>
      </c>
      <c r="B13" s="27">
        <f>H34</f>
        <v/>
      </c>
      <c r="C13" s="27">
        <f>I34</f>
        <v/>
      </c>
      <c r="D13" s="27">
        <f>J34</f>
        <v/>
      </c>
      <c r="E13" s="27">
        <f>K34</f>
        <v/>
      </c>
      <c r="F13" s="27">
        <f>L34</f>
        <v/>
      </c>
      <c r="G13" s="28">
        <f>M34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april 2023.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531</v>
      </c>
      <c r="C21" s="36" t="n">
        <v>3565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454</v>
      </c>
      <c r="C22" s="36" t="n">
        <v>3492</v>
      </c>
      <c r="D22" s="36" t="n">
        <v>413</v>
      </c>
      <c r="E22" s="36" t="n">
        <v>1954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184</v>
      </c>
      <c r="C23" s="36" t="n">
        <v>1056</v>
      </c>
      <c r="D23" s="36" t="n">
        <v>2671</v>
      </c>
      <c r="E23" s="36" t="n">
        <v>13317</v>
      </c>
      <c r="F23" s="36" t="n">
        <v>0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350</v>
      </c>
      <c r="C24" s="36" t="n">
        <v>1285</v>
      </c>
      <c r="D24" s="36" t="n">
        <v>1462</v>
      </c>
      <c r="E24" s="36" t="n">
        <v>6546</v>
      </c>
      <c r="F24" s="36" t="n">
        <v>207</v>
      </c>
      <c r="G24" s="36" t="n">
        <v>1057</v>
      </c>
      <c r="H24" s="36" t="n">
        <v>56</v>
      </c>
      <c r="I24" s="36" t="n">
        <v>228</v>
      </c>
      <c r="J24" s="36" t="n">
        <v>738</v>
      </c>
      <c r="K24" s="36" t="n">
        <v>3096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677</v>
      </c>
      <c r="E25" s="36" t="n">
        <v>3153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114</v>
      </c>
      <c r="K25" s="36" t="n">
        <v>385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2284</v>
      </c>
      <c r="C26" s="36" t="n">
        <v>12943</v>
      </c>
      <c r="D26" s="36" t="n">
        <v>1795</v>
      </c>
      <c r="E26" s="36" t="n">
        <v>6982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1417</v>
      </c>
      <c r="C27" s="36" t="n">
        <v>7442</v>
      </c>
      <c r="D27" s="36" t="n">
        <v>430</v>
      </c>
      <c r="E27" s="36" t="n">
        <v>2087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463</v>
      </c>
      <c r="C28" s="36" t="n">
        <v>2263</v>
      </c>
      <c r="D28" s="36" t="n">
        <v>1254</v>
      </c>
      <c r="E28" s="36" t="n">
        <v>5334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1122</v>
      </c>
      <c r="C29" s="36" t="n">
        <v>5946</v>
      </c>
      <c r="D29" s="36" t="n">
        <v>656</v>
      </c>
      <c r="E29" s="36" t="n">
        <v>3035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1678</v>
      </c>
      <c r="C30" s="36" t="n">
        <v>8883</v>
      </c>
      <c r="D30" s="36" t="n">
        <v>0</v>
      </c>
      <c r="E30" s="36" t="n">
        <v>0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753</v>
      </c>
      <c r="C31" s="36" t="n">
        <v>3330</v>
      </c>
      <c r="D31" s="36" t="n">
        <v>97</v>
      </c>
      <c r="E31" s="36" t="n">
        <v>365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902</v>
      </c>
      <c r="C32" s="36" t="n">
        <v>3955</v>
      </c>
      <c r="D32" s="36" t="n">
        <v>95</v>
      </c>
      <c r="E32" s="36" t="n">
        <v>148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Stamfisk, forskning og undervisning</t>
        </is>
      </c>
      <c r="B33" s="36" t="n">
        <v>2</v>
      </c>
      <c r="C33" s="36" t="n">
        <v>18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1</v>
      </c>
      <c r="L33" s="36" t="n">
        <v>0</v>
      </c>
      <c r="M33" s="36" t="n">
        <v>0</v>
      </c>
    </row>
    <row r="34">
      <c r="A34" s="37" t="inlineStr">
        <is>
          <t>Totalt</t>
        </is>
      </c>
      <c r="B34" s="37" t="n">
        <v>10139</v>
      </c>
      <c r="C34" s="37" t="n">
        <v>54176</v>
      </c>
      <c r="D34" s="37" t="n">
        <v>9550</v>
      </c>
      <c r="E34" s="37" t="n">
        <v>42921</v>
      </c>
      <c r="F34" s="37" t="n">
        <v>207</v>
      </c>
      <c r="G34" s="37" t="n">
        <v>1057</v>
      </c>
      <c r="H34" s="37" t="n">
        <v>56</v>
      </c>
      <c r="I34" s="37" t="n">
        <v>228</v>
      </c>
      <c r="J34" s="37" t="n">
        <v>852</v>
      </c>
      <c r="K34" s="37" t="n">
        <v>3482</v>
      </c>
      <c r="L34" s="37" t="n">
        <v>0</v>
      </c>
      <c r="M34" s="37" t="n">
        <v>0</v>
      </c>
    </row>
    <row r="35"/>
    <row r="36"/>
    <row r="37">
      <c r="A37" s="18" t="inlineStr">
        <is>
          <t>Forklaring:</t>
        </is>
      </c>
    </row>
    <row r="38">
      <c r="A38" s="22" t="inlineStr">
        <is>
          <t>Uttak = All fisk innrapportert tatt ut av merdene, eksklusiv fisk som er flyttet eller solgt levende</t>
        </is>
      </c>
    </row>
    <row r="39">
      <c r="A39" s="22" t="inlineStr">
        <is>
          <t>Rundvekt = Whole fish equivalent (WFE)</t>
        </is>
      </c>
    </row>
    <row r="40">
      <c r="A40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Z39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2023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mai 2023.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B33</f>
        <v/>
      </c>
      <c r="C12" s="27">
        <f>C33</f>
        <v/>
      </c>
      <c r="D12" s="27">
        <f>D33</f>
        <v/>
      </c>
      <c r="E12" s="27">
        <f>E33</f>
        <v/>
      </c>
      <c r="F12" s="27">
        <f>F33</f>
        <v/>
      </c>
      <c r="G12" s="27">
        <f>G33</f>
        <v/>
      </c>
    </row>
    <row r="13" customFormat="1" s="26">
      <c r="A13" s="26" t="inlineStr">
        <is>
          <t>Regnbueørret</t>
        </is>
      </c>
      <c r="B13" s="27">
        <f>H33</f>
        <v/>
      </c>
      <c r="C13" s="27">
        <f>I33</f>
        <v/>
      </c>
      <c r="D13" s="27">
        <f>J33</f>
        <v/>
      </c>
      <c r="E13" s="27">
        <f>K33</f>
        <v/>
      </c>
      <c r="F13" s="27">
        <f>L33</f>
        <v/>
      </c>
      <c r="G13" s="28">
        <f>M33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mai 2023.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2: Ryfylke</t>
        </is>
      </c>
      <c r="B21" s="36" t="n">
        <v>47</v>
      </c>
      <c r="C21" s="36" t="n">
        <v>377</v>
      </c>
      <c r="D21" s="36" t="n">
        <v>1814</v>
      </c>
      <c r="E21" s="36" t="n">
        <v>7706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3: Karmøy til Sotra</t>
        </is>
      </c>
      <c r="B22" s="36" t="n">
        <v>199</v>
      </c>
      <c r="C22" s="36" t="n">
        <v>977</v>
      </c>
      <c r="D22" s="36" t="n">
        <v>3301</v>
      </c>
      <c r="E22" s="36" t="n">
        <v>15875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4: Nordhordland til Stadt</t>
        </is>
      </c>
      <c r="B23" s="36" t="n">
        <v>65</v>
      </c>
      <c r="C23" s="36" t="n">
        <v>277</v>
      </c>
      <c r="D23" s="36" t="n">
        <v>1448</v>
      </c>
      <c r="E23" s="36" t="n">
        <v>6582</v>
      </c>
      <c r="F23" s="36" t="n">
        <v>190</v>
      </c>
      <c r="G23" s="36" t="n">
        <v>1038</v>
      </c>
      <c r="H23" s="36" t="n">
        <v>105</v>
      </c>
      <c r="I23" s="36" t="n">
        <v>448</v>
      </c>
      <c r="J23" s="36" t="n">
        <v>803</v>
      </c>
      <c r="K23" s="36" t="n">
        <v>3667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5: Stadt til Hustadvika</t>
        </is>
      </c>
      <c r="B24" s="36" t="n">
        <v>0</v>
      </c>
      <c r="C24" s="36" t="n">
        <v>0</v>
      </c>
      <c r="D24" s="36" t="n">
        <v>1315</v>
      </c>
      <c r="E24" s="36" t="n">
        <v>6284</v>
      </c>
      <c r="F24" s="36" t="n">
        <v>0</v>
      </c>
      <c r="G24" s="36" t="n">
        <v>0</v>
      </c>
      <c r="H24" s="36" t="n">
        <v>0</v>
      </c>
      <c r="I24" s="36" t="n">
        <v>0</v>
      </c>
      <c r="J24" s="36" t="n">
        <v>199</v>
      </c>
      <c r="K24" s="36" t="n">
        <v>785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6: Nordmøre og Sør-Trøndelag</t>
        </is>
      </c>
      <c r="B25" s="36" t="n">
        <v>1344</v>
      </c>
      <c r="C25" s="36" t="n">
        <v>6051</v>
      </c>
      <c r="D25" s="36" t="n">
        <v>2728</v>
      </c>
      <c r="E25" s="36" t="n">
        <v>11001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0</v>
      </c>
      <c r="K25" s="36" t="n">
        <v>0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7: Nord-Trøndelag med Bindal</t>
        </is>
      </c>
      <c r="B26" s="36" t="n">
        <v>131</v>
      </c>
      <c r="C26" s="36" t="n">
        <v>656</v>
      </c>
      <c r="D26" s="36" t="n">
        <v>959</v>
      </c>
      <c r="E26" s="36" t="n">
        <v>5361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8: Helgeland til Bodø</t>
        </is>
      </c>
      <c r="B27" s="36" t="n">
        <v>722</v>
      </c>
      <c r="C27" s="36" t="n">
        <v>3867</v>
      </c>
      <c r="D27" s="36" t="n">
        <v>1571</v>
      </c>
      <c r="E27" s="36" t="n">
        <v>6861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9: Vestfjorden og Vesterålen</t>
        </is>
      </c>
      <c r="B28" s="36" t="n">
        <v>740</v>
      </c>
      <c r="C28" s="36" t="n">
        <v>4165</v>
      </c>
      <c r="D28" s="36" t="n">
        <v>406</v>
      </c>
      <c r="E28" s="36" t="n">
        <v>1914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10: Andøya til Senja</t>
        </is>
      </c>
      <c r="B29" s="36" t="n">
        <v>2641</v>
      </c>
      <c r="C29" s="36" t="n">
        <v>14255</v>
      </c>
      <c r="D29" s="36" t="n">
        <v>57</v>
      </c>
      <c r="E29" s="36" t="n">
        <v>229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11: Kvaløy til Loppa</t>
        </is>
      </c>
      <c r="B30" s="36" t="n">
        <v>259</v>
      </c>
      <c r="C30" s="36" t="n">
        <v>1138</v>
      </c>
      <c r="D30" s="36" t="n">
        <v>364</v>
      </c>
      <c r="E30" s="36" t="n">
        <v>1405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12: Vest-Finnmark</t>
        </is>
      </c>
      <c r="B31" s="36" t="n">
        <v>1338</v>
      </c>
      <c r="C31" s="36" t="n">
        <v>6134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Stamfisk, forskning og undervisning</t>
        </is>
      </c>
      <c r="B32" s="36" t="n">
        <v>103</v>
      </c>
      <c r="C32" s="36" t="n">
        <v>1369</v>
      </c>
      <c r="D32" s="36" t="n">
        <v>231</v>
      </c>
      <c r="E32" s="36" t="n">
        <v>1133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20</v>
      </c>
      <c r="K32" s="36" t="n">
        <v>109</v>
      </c>
      <c r="L32" s="36" t="n">
        <v>0</v>
      </c>
      <c r="M32" s="36" t="n">
        <v>0</v>
      </c>
    </row>
    <row r="33">
      <c r="A33" s="37" t="inlineStr">
        <is>
          <t>Totalt</t>
        </is>
      </c>
      <c r="B33" s="37" t="n">
        <v>7590</v>
      </c>
      <c r="C33" s="37" t="n">
        <v>39265</v>
      </c>
      <c r="D33" s="37" t="n">
        <v>14194</v>
      </c>
      <c r="E33" s="37" t="n">
        <v>64352</v>
      </c>
      <c r="F33" s="37" t="n">
        <v>190</v>
      </c>
      <c r="G33" s="37" t="n">
        <v>1038</v>
      </c>
      <c r="H33" s="37" t="n">
        <v>105</v>
      </c>
      <c r="I33" s="37" t="n">
        <v>448</v>
      </c>
      <c r="J33" s="37" t="n">
        <v>1022</v>
      </c>
      <c r="K33" s="37" t="n">
        <v>4561</v>
      </c>
      <c r="L33" s="37" t="n">
        <v>0</v>
      </c>
      <c r="M33" s="37" t="n">
        <v>0</v>
      </c>
    </row>
    <row r="34"/>
    <row r="35"/>
    <row r="36">
      <c r="A36" s="18" t="inlineStr">
        <is>
          <t>Forklaring:</t>
        </is>
      </c>
    </row>
    <row r="37">
      <c r="A37" s="22" t="inlineStr">
        <is>
          <t>Uttak = All fisk innrapportert tatt ut av merdene, eksklusiv fisk som er flyttet eller solgt levende</t>
        </is>
      </c>
    </row>
    <row r="38">
      <c r="A38" s="22" t="inlineStr">
        <is>
          <t>Rundvekt = Whole fish equivalent (WFE)</t>
        </is>
      </c>
    </row>
    <row r="39">
      <c r="A39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2023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juni 2023.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B34</f>
        <v/>
      </c>
      <c r="C12" s="27">
        <f>C34</f>
        <v/>
      </c>
      <c r="D12" s="27">
        <f>D34</f>
        <v/>
      </c>
      <c r="E12" s="27">
        <f>E34</f>
        <v/>
      </c>
      <c r="F12" s="27">
        <f>F34</f>
        <v/>
      </c>
      <c r="G12" s="27">
        <f>G34</f>
        <v/>
      </c>
    </row>
    <row r="13" customFormat="1" s="26">
      <c r="A13" s="26" t="inlineStr">
        <is>
          <t>Regnbueørret</t>
        </is>
      </c>
      <c r="B13" s="27">
        <f>H34</f>
        <v/>
      </c>
      <c r="C13" s="27">
        <f>I34</f>
        <v/>
      </c>
      <c r="D13" s="27">
        <f>J34</f>
        <v/>
      </c>
      <c r="E13" s="27">
        <f>K34</f>
        <v/>
      </c>
      <c r="F13" s="27">
        <f>L34</f>
        <v/>
      </c>
      <c r="G13" s="28">
        <f>M34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juni 2023.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2350</v>
      </c>
      <c r="E22" s="36" t="n">
        <v>7435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267</v>
      </c>
      <c r="C23" s="36" t="n">
        <v>1348</v>
      </c>
      <c r="D23" s="36" t="n">
        <v>3727</v>
      </c>
      <c r="E23" s="36" t="n">
        <v>18628</v>
      </c>
      <c r="F23" s="36" t="n">
        <v>2</v>
      </c>
      <c r="G23" s="36" t="n">
        <v>6</v>
      </c>
      <c r="H23" s="36" t="n">
        <v>0</v>
      </c>
      <c r="I23" s="36" t="n">
        <v>0</v>
      </c>
      <c r="J23" s="36" t="n">
        <v>8</v>
      </c>
      <c r="K23" s="36" t="n">
        <v>17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0</v>
      </c>
      <c r="C24" s="36" t="n">
        <v>0</v>
      </c>
      <c r="D24" s="36" t="n">
        <v>1011</v>
      </c>
      <c r="E24" s="36" t="n">
        <v>4694</v>
      </c>
      <c r="F24" s="36" t="n">
        <v>86</v>
      </c>
      <c r="G24" s="36" t="n">
        <v>442</v>
      </c>
      <c r="H24" s="36" t="n">
        <v>113</v>
      </c>
      <c r="I24" s="36" t="n">
        <v>550</v>
      </c>
      <c r="J24" s="36" t="n">
        <v>1133</v>
      </c>
      <c r="K24" s="36" t="n">
        <v>5257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2215</v>
      </c>
      <c r="E25" s="36" t="n">
        <v>10619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277</v>
      </c>
      <c r="K25" s="36" t="n">
        <v>1250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324</v>
      </c>
      <c r="C26" s="36" t="n">
        <v>1561</v>
      </c>
      <c r="D26" s="36" t="n">
        <v>3750</v>
      </c>
      <c r="E26" s="36" t="n">
        <v>15739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262</v>
      </c>
      <c r="C27" s="36" t="n">
        <v>1439</v>
      </c>
      <c r="D27" s="36" t="n">
        <v>1373</v>
      </c>
      <c r="E27" s="36" t="n">
        <v>7120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35</v>
      </c>
      <c r="C28" s="36" t="n">
        <v>254</v>
      </c>
      <c r="D28" s="36" t="n">
        <v>3316</v>
      </c>
      <c r="E28" s="36" t="n">
        <v>13901</v>
      </c>
      <c r="F28" s="36" t="n">
        <v>33</v>
      </c>
      <c r="G28" s="36" t="n">
        <v>136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876</v>
      </c>
      <c r="C29" s="36" t="n">
        <v>4185</v>
      </c>
      <c r="D29" s="36" t="n">
        <v>1014</v>
      </c>
      <c r="E29" s="36" t="n">
        <v>4364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1464</v>
      </c>
      <c r="C30" s="36" t="n">
        <v>8240</v>
      </c>
      <c r="D30" s="36" t="n">
        <v>894</v>
      </c>
      <c r="E30" s="36" t="n">
        <v>4018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204</v>
      </c>
      <c r="C31" s="36" t="n">
        <v>915</v>
      </c>
      <c r="D31" s="36" t="n">
        <v>545</v>
      </c>
      <c r="E31" s="36" t="n">
        <v>2576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1000</v>
      </c>
      <c r="C32" s="36" t="n">
        <v>4447</v>
      </c>
      <c r="D32" s="36" t="n">
        <v>299</v>
      </c>
      <c r="E32" s="36" t="n">
        <v>1007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Stamfisk, forskning og undervisning</t>
        </is>
      </c>
      <c r="B33" s="36" t="n">
        <v>83</v>
      </c>
      <c r="C33" s="36" t="n">
        <v>1162</v>
      </c>
      <c r="D33" s="36" t="n">
        <v>158</v>
      </c>
      <c r="E33" s="36" t="n">
        <v>757</v>
      </c>
      <c r="F33" s="36" t="n">
        <v>19</v>
      </c>
      <c r="G33" s="36" t="n">
        <v>166</v>
      </c>
      <c r="H33" s="36" t="n">
        <v>0</v>
      </c>
      <c r="I33" s="36" t="n">
        <v>0</v>
      </c>
      <c r="J33" s="36" t="n">
        <v>45</v>
      </c>
      <c r="K33" s="36" t="n">
        <v>216</v>
      </c>
      <c r="L33" s="36" t="n">
        <v>0</v>
      </c>
      <c r="M33" s="36" t="n">
        <v>0</v>
      </c>
    </row>
    <row r="34">
      <c r="A34" s="37" t="inlineStr">
        <is>
          <t>Totalt</t>
        </is>
      </c>
      <c r="B34" s="37" t="n">
        <v>4515</v>
      </c>
      <c r="C34" s="37" t="n">
        <v>23551</v>
      </c>
      <c r="D34" s="37" t="n">
        <v>20651</v>
      </c>
      <c r="E34" s="37" t="n">
        <v>90859</v>
      </c>
      <c r="F34" s="37" t="n">
        <v>140</v>
      </c>
      <c r="G34" s="37" t="n">
        <v>749</v>
      </c>
      <c r="H34" s="37" t="n">
        <v>113</v>
      </c>
      <c r="I34" s="37" t="n">
        <v>550</v>
      </c>
      <c r="J34" s="37" t="n">
        <v>1463</v>
      </c>
      <c r="K34" s="37" t="n">
        <v>6740</v>
      </c>
      <c r="L34" s="37" t="n">
        <v>0</v>
      </c>
      <c r="M34" s="37" t="n">
        <v>0</v>
      </c>
    </row>
    <row r="35"/>
    <row r="36"/>
    <row r="37">
      <c r="A37" s="18" t="inlineStr">
        <is>
          <t>Forklaring:</t>
        </is>
      </c>
    </row>
    <row r="38">
      <c r="A38" s="22" t="inlineStr">
        <is>
          <t>Uttak = All fisk innrapportert tatt ut av merdene, eksklusiv fisk som er flyttet eller solgt levende</t>
        </is>
      </c>
    </row>
    <row r="39">
      <c r="A39" s="22" t="inlineStr">
        <is>
          <t>Rundvekt = Whole fish equivalent (WFE)</t>
        </is>
      </c>
    </row>
    <row r="40">
      <c r="A40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2023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juli 2023.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B34</f>
        <v/>
      </c>
      <c r="C12" s="27">
        <f>C34</f>
        <v/>
      </c>
      <c r="D12" s="27">
        <f>D34</f>
        <v/>
      </c>
      <c r="E12" s="27">
        <f>E34</f>
        <v/>
      </c>
      <c r="F12" s="27">
        <f>F34</f>
        <v/>
      </c>
      <c r="G12" s="27">
        <f>G34</f>
        <v/>
      </c>
    </row>
    <row r="13" customFormat="1" s="26">
      <c r="A13" s="26" t="inlineStr">
        <is>
          <t>Regnbueørret</t>
        </is>
      </c>
      <c r="B13" s="27">
        <f>H34</f>
        <v/>
      </c>
      <c r="C13" s="27">
        <f>I34</f>
        <v/>
      </c>
      <c r="D13" s="27">
        <f>J34</f>
        <v/>
      </c>
      <c r="E13" s="27">
        <f>K34</f>
        <v/>
      </c>
      <c r="F13" s="27">
        <f>L34</f>
        <v/>
      </c>
      <c r="G13" s="28">
        <f>M34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juli 2023.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1190</v>
      </c>
      <c r="E22" s="36" t="n">
        <v>5429</v>
      </c>
      <c r="F22" s="36" t="n">
        <v>214</v>
      </c>
      <c r="G22" s="36" t="n">
        <v>453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6</v>
      </c>
      <c r="C23" s="36" t="n">
        <v>21</v>
      </c>
      <c r="D23" s="36" t="n">
        <v>2306</v>
      </c>
      <c r="E23" s="36" t="n">
        <v>9986</v>
      </c>
      <c r="F23" s="36" t="n">
        <v>152</v>
      </c>
      <c r="G23" s="36" t="n">
        <v>404</v>
      </c>
      <c r="H23" s="36" t="n">
        <v>0</v>
      </c>
      <c r="I23" s="36" t="n">
        <v>0</v>
      </c>
      <c r="J23" s="36" t="n">
        <v>65</v>
      </c>
      <c r="K23" s="36" t="n">
        <v>261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0</v>
      </c>
      <c r="C24" s="36" t="n">
        <v>0</v>
      </c>
      <c r="D24" s="36" t="n">
        <v>1248</v>
      </c>
      <c r="E24" s="36" t="n">
        <v>4793</v>
      </c>
      <c r="F24" s="36" t="n">
        <v>66</v>
      </c>
      <c r="G24" s="36" t="n">
        <v>334</v>
      </c>
      <c r="H24" s="36" t="n">
        <v>128</v>
      </c>
      <c r="I24" s="36" t="n">
        <v>637</v>
      </c>
      <c r="J24" s="36" t="n">
        <v>1900</v>
      </c>
      <c r="K24" s="36" t="n">
        <v>7368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2334</v>
      </c>
      <c r="E25" s="36" t="n">
        <v>11398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312</v>
      </c>
      <c r="K25" s="36" t="n">
        <v>1602</v>
      </c>
      <c r="L25" s="36" t="n">
        <v>30</v>
      </c>
      <c r="M25" s="36" t="n">
        <v>157</v>
      </c>
    </row>
    <row r="26" ht="12" customFormat="1" customHeight="1" s="22">
      <c r="A26" s="36" t="inlineStr">
        <is>
          <t>Område 6: Nordmøre og Sør-Trøndelag</t>
        </is>
      </c>
      <c r="B26" s="36" t="n">
        <v>0</v>
      </c>
      <c r="C26" s="36" t="n">
        <v>0</v>
      </c>
      <c r="D26" s="36" t="n">
        <v>4708</v>
      </c>
      <c r="E26" s="36" t="n">
        <v>20426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162</v>
      </c>
      <c r="C27" s="36" t="n">
        <v>1119</v>
      </c>
      <c r="D27" s="36" t="n">
        <v>2362</v>
      </c>
      <c r="E27" s="36" t="n">
        <v>12384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0</v>
      </c>
      <c r="C28" s="36" t="n">
        <v>0</v>
      </c>
      <c r="D28" s="36" t="n">
        <v>2772</v>
      </c>
      <c r="E28" s="36" t="n">
        <v>13772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147</v>
      </c>
      <c r="C29" s="36" t="n">
        <v>701</v>
      </c>
      <c r="D29" s="36" t="n">
        <v>2470</v>
      </c>
      <c r="E29" s="36" t="n">
        <v>11280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11</v>
      </c>
      <c r="C30" s="36" t="n">
        <v>41</v>
      </c>
      <c r="D30" s="36" t="n">
        <v>2003</v>
      </c>
      <c r="E30" s="36" t="n">
        <v>7851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1144</v>
      </c>
      <c r="C31" s="36" t="n">
        <v>6186</v>
      </c>
      <c r="D31" s="36" t="n">
        <v>718</v>
      </c>
      <c r="E31" s="36" t="n">
        <v>3380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660</v>
      </c>
      <c r="C32" s="36" t="n">
        <v>2577</v>
      </c>
      <c r="D32" s="36" t="n">
        <v>468</v>
      </c>
      <c r="E32" s="36" t="n">
        <v>1656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Stamfisk, forskning og undervisning</t>
        </is>
      </c>
      <c r="B33" s="36" t="n">
        <v>4</v>
      </c>
      <c r="C33" s="36" t="n">
        <v>64</v>
      </c>
      <c r="D33" s="36" t="n">
        <v>248</v>
      </c>
      <c r="E33" s="36" t="n">
        <v>996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7" t="inlineStr">
        <is>
          <t>Totalt</t>
        </is>
      </c>
      <c r="B34" s="37" t="n">
        <v>2135</v>
      </c>
      <c r="C34" s="37" t="n">
        <v>10710</v>
      </c>
      <c r="D34" s="37" t="n">
        <v>22827</v>
      </c>
      <c r="E34" s="37" t="n">
        <v>103351</v>
      </c>
      <c r="F34" s="37" t="n">
        <v>431</v>
      </c>
      <c r="G34" s="37" t="n">
        <v>1191</v>
      </c>
      <c r="H34" s="37" t="n">
        <v>128</v>
      </c>
      <c r="I34" s="37" t="n">
        <v>637</v>
      </c>
      <c r="J34" s="37" t="n">
        <v>2276</v>
      </c>
      <c r="K34" s="37" t="n">
        <v>9232</v>
      </c>
      <c r="L34" s="37" t="n">
        <v>30</v>
      </c>
      <c r="M34" s="37" t="n">
        <v>157</v>
      </c>
    </row>
    <row r="35"/>
    <row r="36"/>
    <row r="37">
      <c r="A37" s="18" t="inlineStr">
        <is>
          <t>Forklaring:</t>
        </is>
      </c>
    </row>
    <row r="38">
      <c r="A38" s="22" t="inlineStr">
        <is>
          <t>Uttak = All fisk innrapportert tatt ut av merdene, eksklusiv fisk som er flyttet eller solgt levende</t>
        </is>
      </c>
    </row>
    <row r="39">
      <c r="A39" s="22" t="inlineStr">
        <is>
          <t>Rundvekt = Whole fish equivalent (WFE)</t>
        </is>
      </c>
    </row>
    <row r="40">
      <c r="A40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2023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august 2023.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august 2023.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1613</v>
      </c>
      <c r="E22" s="36" t="n">
        <v>7587</v>
      </c>
      <c r="F22" s="36" t="n">
        <v>518</v>
      </c>
      <c r="G22" s="36" t="n">
        <v>1529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121</v>
      </c>
      <c r="C23" s="36" t="n">
        <v>495</v>
      </c>
      <c r="D23" s="36" t="n">
        <v>2508</v>
      </c>
      <c r="E23" s="36" t="n">
        <v>9186</v>
      </c>
      <c r="F23" s="36" t="n">
        <v>41</v>
      </c>
      <c r="G23" s="36" t="n">
        <v>145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151</v>
      </c>
      <c r="C24" s="36" t="n">
        <v>525</v>
      </c>
      <c r="D24" s="36" t="n">
        <v>2249</v>
      </c>
      <c r="E24" s="36" t="n">
        <v>9085</v>
      </c>
      <c r="F24" s="36" t="n">
        <v>61</v>
      </c>
      <c r="G24" s="36" t="n">
        <v>107</v>
      </c>
      <c r="H24" s="36" t="n">
        <v>162</v>
      </c>
      <c r="I24" s="36" t="n">
        <v>783</v>
      </c>
      <c r="J24" s="36" t="n">
        <v>1857</v>
      </c>
      <c r="K24" s="36" t="n">
        <v>7472</v>
      </c>
      <c r="L24" s="36" t="n">
        <v>29</v>
      </c>
      <c r="M24" s="36" t="n">
        <v>65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3237</v>
      </c>
      <c r="E25" s="36" t="n">
        <v>14293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134</v>
      </c>
      <c r="K25" s="36" t="n">
        <v>616</v>
      </c>
      <c r="L25" s="36" t="n">
        <v>68</v>
      </c>
      <c r="M25" s="36" t="n">
        <v>403</v>
      </c>
    </row>
    <row r="26" ht="12" customFormat="1" customHeight="1" s="22">
      <c r="A26" s="36" t="inlineStr">
        <is>
          <t>Område 6: Nordmøre og Sør-Trøndelag</t>
        </is>
      </c>
      <c r="B26" s="36" t="n">
        <v>0</v>
      </c>
      <c r="C26" s="36" t="n">
        <v>0</v>
      </c>
      <c r="D26" s="36" t="n">
        <v>4939</v>
      </c>
      <c r="E26" s="36" t="n">
        <v>22462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0</v>
      </c>
      <c r="C27" s="36" t="n">
        <v>0</v>
      </c>
      <c r="D27" s="36" t="n">
        <v>2651</v>
      </c>
      <c r="E27" s="36" t="n">
        <v>12962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0</v>
      </c>
      <c r="C28" s="36" t="n">
        <v>0</v>
      </c>
      <c r="D28" s="36" t="n">
        <v>3602</v>
      </c>
      <c r="E28" s="36" t="n">
        <v>18521</v>
      </c>
      <c r="F28" s="36" t="n">
        <v>97</v>
      </c>
      <c r="G28" s="36" t="n">
        <v>438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230</v>
      </c>
      <c r="C29" s="36" t="n">
        <v>1136</v>
      </c>
      <c r="D29" s="36" t="n">
        <v>3979</v>
      </c>
      <c r="E29" s="36" t="n">
        <v>19143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245</v>
      </c>
      <c r="C30" s="36" t="n">
        <v>1498</v>
      </c>
      <c r="D30" s="36" t="n">
        <v>1912</v>
      </c>
      <c r="E30" s="36" t="n">
        <v>9420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1177</v>
      </c>
      <c r="C31" s="36" t="n">
        <v>6458</v>
      </c>
      <c r="D31" s="36" t="n">
        <v>2260</v>
      </c>
      <c r="E31" s="36" t="n">
        <v>11566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276</v>
      </c>
      <c r="C32" s="36" t="n">
        <v>1148</v>
      </c>
      <c r="D32" s="36" t="n">
        <v>1368</v>
      </c>
      <c r="E32" s="36" t="n">
        <v>6183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0</v>
      </c>
      <c r="C33" s="36" t="n">
        <v>0</v>
      </c>
      <c r="D33" s="36" t="n">
        <v>98</v>
      </c>
      <c r="E33" s="36" t="n">
        <v>369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0</v>
      </c>
      <c r="C34" s="36" t="n">
        <v>0</v>
      </c>
      <c r="D34" s="36" t="n">
        <v>445</v>
      </c>
      <c r="E34" s="36" t="n">
        <v>2287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0</v>
      </c>
      <c r="K34" s="36" t="n">
        <v>0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2201</v>
      </c>
      <c r="C35" s="37" t="n">
        <v>11260</v>
      </c>
      <c r="D35" s="37" t="n">
        <v>30862</v>
      </c>
      <c r="E35" s="37" t="n">
        <v>143063</v>
      </c>
      <c r="F35" s="37" t="n">
        <v>717</v>
      </c>
      <c r="G35" s="37" t="n">
        <v>2219</v>
      </c>
      <c r="H35" s="37" t="n">
        <v>162</v>
      </c>
      <c r="I35" s="37" t="n">
        <v>783</v>
      </c>
      <c r="J35" s="37" t="n">
        <v>1991</v>
      </c>
      <c r="K35" s="37" t="n">
        <v>8088</v>
      </c>
      <c r="L35" s="37" t="n">
        <v>98</v>
      </c>
      <c r="M35" s="37" t="n">
        <v>468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2023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september 2023.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september 2023.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1628</v>
      </c>
      <c r="E22" s="36" t="n">
        <v>8391</v>
      </c>
      <c r="F22" s="36" t="n">
        <v>74</v>
      </c>
      <c r="G22" s="36" t="n">
        <v>222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33</v>
      </c>
      <c r="C23" s="36" t="n">
        <v>134</v>
      </c>
      <c r="D23" s="36" t="n">
        <v>2427</v>
      </c>
      <c r="E23" s="36" t="n">
        <v>9552</v>
      </c>
      <c r="F23" s="36" t="n">
        <v>161</v>
      </c>
      <c r="G23" s="36" t="n">
        <v>407</v>
      </c>
      <c r="H23" s="36" t="n">
        <v>0</v>
      </c>
      <c r="I23" s="36" t="n">
        <v>0</v>
      </c>
      <c r="J23" s="36" t="n">
        <v>89</v>
      </c>
      <c r="K23" s="36" t="n">
        <v>452</v>
      </c>
      <c r="L23" s="36" t="n">
        <v>10</v>
      </c>
      <c r="M23" s="36" t="n">
        <v>27</v>
      </c>
    </row>
    <row r="24" ht="12" customFormat="1" customHeight="1" s="22">
      <c r="A24" s="36" t="inlineStr">
        <is>
          <t>Område 4: Nordhordland til Stadt</t>
        </is>
      </c>
      <c r="B24" s="36" t="n">
        <v>0</v>
      </c>
      <c r="C24" s="36" t="n">
        <v>0</v>
      </c>
      <c r="D24" s="36" t="n">
        <v>2936</v>
      </c>
      <c r="E24" s="36" t="n">
        <v>11807</v>
      </c>
      <c r="F24" s="36" t="n">
        <v>276</v>
      </c>
      <c r="G24" s="36" t="n">
        <v>592</v>
      </c>
      <c r="H24" s="36" t="n">
        <v>131</v>
      </c>
      <c r="I24" s="36" t="n">
        <v>388</v>
      </c>
      <c r="J24" s="36" t="n">
        <v>1183</v>
      </c>
      <c r="K24" s="36" t="n">
        <v>5319</v>
      </c>
      <c r="L24" s="36" t="n">
        <v>269</v>
      </c>
      <c r="M24" s="36" t="n">
        <v>941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3217</v>
      </c>
      <c r="E25" s="36" t="n">
        <v>14328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212</v>
      </c>
      <c r="K25" s="36" t="n">
        <v>1150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0</v>
      </c>
      <c r="C26" s="36" t="n">
        <v>0</v>
      </c>
      <c r="D26" s="36" t="n">
        <v>5554</v>
      </c>
      <c r="E26" s="36" t="n">
        <v>21875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0</v>
      </c>
      <c r="C27" s="36" t="n">
        <v>0</v>
      </c>
      <c r="D27" s="36" t="n">
        <v>4065</v>
      </c>
      <c r="E27" s="36" t="n">
        <v>17968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0</v>
      </c>
      <c r="C28" s="36" t="n">
        <v>0</v>
      </c>
      <c r="D28" s="36" t="n">
        <v>3439</v>
      </c>
      <c r="E28" s="36" t="n">
        <v>17619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0</v>
      </c>
      <c r="C29" s="36" t="n">
        <v>0</v>
      </c>
      <c r="D29" s="36" t="n">
        <v>3748</v>
      </c>
      <c r="E29" s="36" t="n">
        <v>17108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0</v>
      </c>
      <c r="C30" s="36" t="n">
        <v>0</v>
      </c>
      <c r="D30" s="36" t="n">
        <v>2903</v>
      </c>
      <c r="E30" s="36" t="n">
        <v>15820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156</v>
      </c>
      <c r="C31" s="36" t="n">
        <v>1007</v>
      </c>
      <c r="D31" s="36" t="n">
        <v>2144</v>
      </c>
      <c r="E31" s="36" t="n">
        <v>9462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456</v>
      </c>
      <c r="C32" s="36" t="n">
        <v>2015</v>
      </c>
      <c r="D32" s="36" t="n">
        <v>1620</v>
      </c>
      <c r="E32" s="36" t="n">
        <v>7595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0</v>
      </c>
      <c r="C33" s="36" t="n">
        <v>0</v>
      </c>
      <c r="D33" s="36" t="n">
        <v>474</v>
      </c>
      <c r="E33" s="36" t="n">
        <v>2060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0</v>
      </c>
      <c r="C34" s="36" t="n">
        <v>0</v>
      </c>
      <c r="D34" s="36" t="n">
        <v>259</v>
      </c>
      <c r="E34" s="36" t="n">
        <v>1356</v>
      </c>
      <c r="F34" s="36" t="n">
        <v>3</v>
      </c>
      <c r="G34" s="36" t="n">
        <v>28</v>
      </c>
      <c r="H34" s="36" t="n">
        <v>8</v>
      </c>
      <c r="I34" s="36" t="n">
        <v>44</v>
      </c>
      <c r="J34" s="36" t="n">
        <v>60</v>
      </c>
      <c r="K34" s="36" t="n">
        <v>178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645</v>
      </c>
      <c r="C35" s="37" t="n">
        <v>3155</v>
      </c>
      <c r="D35" s="37" t="n">
        <v>34414</v>
      </c>
      <c r="E35" s="37" t="n">
        <v>154941</v>
      </c>
      <c r="F35" s="37" t="n">
        <v>514</v>
      </c>
      <c r="G35" s="37" t="n">
        <v>1249</v>
      </c>
      <c r="H35" s="37" t="n">
        <v>140</v>
      </c>
      <c r="I35" s="37" t="n">
        <v>432</v>
      </c>
      <c r="J35" s="37" t="n">
        <v>1543</v>
      </c>
      <c r="K35" s="37" t="n">
        <v>7099</v>
      </c>
      <c r="L35" s="37" t="n">
        <v>280</v>
      </c>
      <c r="M35" s="37" t="n">
        <v>968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2023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oktober 2023.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oktober 2023.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2022</v>
      </c>
      <c r="E22" s="36" t="n">
        <v>8972</v>
      </c>
      <c r="F22" s="36" t="n">
        <v>136</v>
      </c>
      <c r="G22" s="36" t="n">
        <v>530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227</v>
      </c>
      <c r="C23" s="36" t="n">
        <v>1087</v>
      </c>
      <c r="D23" s="36" t="n">
        <v>1660</v>
      </c>
      <c r="E23" s="36" t="n">
        <v>6784</v>
      </c>
      <c r="F23" s="36" t="n">
        <v>582</v>
      </c>
      <c r="G23" s="36" t="n">
        <v>1490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0</v>
      </c>
      <c r="C24" s="36" t="n">
        <v>0</v>
      </c>
      <c r="D24" s="36" t="n">
        <v>2032</v>
      </c>
      <c r="E24" s="36" t="n">
        <v>9329</v>
      </c>
      <c r="F24" s="36" t="n">
        <v>32</v>
      </c>
      <c r="G24" s="36" t="n">
        <v>115</v>
      </c>
      <c r="H24" s="36" t="n">
        <v>131</v>
      </c>
      <c r="I24" s="36" t="n">
        <v>449</v>
      </c>
      <c r="J24" s="36" t="n">
        <v>1264</v>
      </c>
      <c r="K24" s="36" t="n">
        <v>5888</v>
      </c>
      <c r="L24" s="36" t="n">
        <v>454</v>
      </c>
      <c r="M24" s="36" t="n">
        <v>1563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1817</v>
      </c>
      <c r="E25" s="36" t="n">
        <v>9879</v>
      </c>
      <c r="F25" s="36" t="n">
        <v>206</v>
      </c>
      <c r="G25" s="36" t="n">
        <v>793</v>
      </c>
      <c r="H25" s="36" t="n">
        <v>0</v>
      </c>
      <c r="I25" s="36" t="n">
        <v>0</v>
      </c>
      <c r="J25" s="36" t="n">
        <v>180</v>
      </c>
      <c r="K25" s="36" t="n">
        <v>812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0</v>
      </c>
      <c r="C26" s="36" t="n">
        <v>0</v>
      </c>
      <c r="D26" s="36" t="n">
        <v>5688</v>
      </c>
      <c r="E26" s="36" t="n">
        <v>26763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0</v>
      </c>
      <c r="C27" s="36" t="n">
        <v>0</v>
      </c>
      <c r="D27" s="36" t="n">
        <v>3954</v>
      </c>
      <c r="E27" s="36" t="n">
        <v>18149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0</v>
      </c>
      <c r="C28" s="36" t="n">
        <v>0</v>
      </c>
      <c r="D28" s="36" t="n">
        <v>3687</v>
      </c>
      <c r="E28" s="36" t="n">
        <v>18184</v>
      </c>
      <c r="F28" s="36" t="n">
        <v>50</v>
      </c>
      <c r="G28" s="36" t="n">
        <v>298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0</v>
      </c>
      <c r="C29" s="36" t="n">
        <v>0</v>
      </c>
      <c r="D29" s="36" t="n">
        <v>3519</v>
      </c>
      <c r="E29" s="36" t="n">
        <v>17462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0</v>
      </c>
      <c r="C30" s="36" t="n">
        <v>0</v>
      </c>
      <c r="D30" s="36" t="n">
        <v>2410</v>
      </c>
      <c r="E30" s="36" t="n">
        <v>13662</v>
      </c>
      <c r="F30" s="36" t="n">
        <v>88</v>
      </c>
      <c r="G30" s="36" t="n">
        <v>93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0</v>
      </c>
      <c r="C31" s="36" t="n">
        <v>0</v>
      </c>
      <c r="D31" s="36" t="n">
        <v>2747</v>
      </c>
      <c r="E31" s="36" t="n">
        <v>14978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258</v>
      </c>
      <c r="C32" s="36" t="n">
        <v>1416</v>
      </c>
      <c r="D32" s="36" t="n">
        <v>2718</v>
      </c>
      <c r="E32" s="36" t="n">
        <v>13353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0</v>
      </c>
      <c r="C33" s="36" t="n">
        <v>0</v>
      </c>
      <c r="D33" s="36" t="n">
        <v>430</v>
      </c>
      <c r="E33" s="36" t="n">
        <v>2207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149</v>
      </c>
      <c r="C34" s="36" t="n">
        <v>453</v>
      </c>
      <c r="D34" s="36" t="n">
        <v>645</v>
      </c>
      <c r="E34" s="36" t="n">
        <v>2232</v>
      </c>
      <c r="F34" s="36" t="n">
        <v>26</v>
      </c>
      <c r="G34" s="36" t="n">
        <v>146</v>
      </c>
      <c r="H34" s="36" t="n">
        <v>0</v>
      </c>
      <c r="I34" s="36" t="n">
        <v>0</v>
      </c>
      <c r="J34" s="36" t="n">
        <v>118</v>
      </c>
      <c r="K34" s="36" t="n">
        <v>403</v>
      </c>
      <c r="L34" s="36" t="n">
        <v>1</v>
      </c>
      <c r="M34" s="36" t="n">
        <v>2</v>
      </c>
    </row>
    <row r="35">
      <c r="A35" s="37" t="inlineStr">
        <is>
          <t>Totalt</t>
        </is>
      </c>
      <c r="B35" s="37" t="n">
        <v>633</v>
      </c>
      <c r="C35" s="37" t="n">
        <v>2957</v>
      </c>
      <c r="D35" s="37" t="n">
        <v>33328</v>
      </c>
      <c r="E35" s="37" t="n">
        <v>161953</v>
      </c>
      <c r="F35" s="37" t="n">
        <v>1120</v>
      </c>
      <c r="G35" s="37" t="n">
        <v>3466</v>
      </c>
      <c r="H35" s="37" t="n">
        <v>131</v>
      </c>
      <c r="I35" s="37" t="n">
        <v>449</v>
      </c>
      <c r="J35" s="37" t="n">
        <v>1562</v>
      </c>
      <c r="K35" s="37" t="n">
        <v>7103</v>
      </c>
      <c r="L35" s="37" t="n">
        <v>455</v>
      </c>
      <c r="M35" s="37" t="n">
        <v>1565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2023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november 2023.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november 2023.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248</v>
      </c>
      <c r="E21" s="36" t="n">
        <v>874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963</v>
      </c>
      <c r="E22" s="36" t="n">
        <v>5324</v>
      </c>
      <c r="F22" s="36" t="n">
        <v>229</v>
      </c>
      <c r="G22" s="36" t="n">
        <v>1120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0</v>
      </c>
      <c r="C23" s="36" t="n">
        <v>0</v>
      </c>
      <c r="D23" s="36" t="n">
        <v>1657</v>
      </c>
      <c r="E23" s="36" t="n">
        <v>7479</v>
      </c>
      <c r="F23" s="36" t="n">
        <v>934</v>
      </c>
      <c r="G23" s="36" t="n">
        <v>3095</v>
      </c>
      <c r="H23" s="36" t="n">
        <v>0</v>
      </c>
      <c r="I23" s="36" t="n">
        <v>0</v>
      </c>
      <c r="J23" s="36" t="n">
        <v>6</v>
      </c>
      <c r="K23" s="36" t="n">
        <v>26</v>
      </c>
      <c r="L23" s="36" t="n">
        <v>1</v>
      </c>
      <c r="M23" s="36" t="n">
        <v>3</v>
      </c>
    </row>
    <row r="24" ht="12" customFormat="1" customHeight="1" s="22">
      <c r="A24" s="36" t="inlineStr">
        <is>
          <t>Område 4: Nordhordland til Stadt</t>
        </is>
      </c>
      <c r="B24" s="36" t="n">
        <v>68</v>
      </c>
      <c r="C24" s="36" t="n">
        <v>268</v>
      </c>
      <c r="D24" s="36" t="n">
        <v>2217</v>
      </c>
      <c r="E24" s="36" t="n">
        <v>10466</v>
      </c>
      <c r="F24" s="36" t="n">
        <v>278</v>
      </c>
      <c r="G24" s="36" t="n">
        <v>887</v>
      </c>
      <c r="H24" s="36" t="n">
        <v>93</v>
      </c>
      <c r="I24" s="36" t="n">
        <v>373</v>
      </c>
      <c r="J24" s="36" t="n">
        <v>1119</v>
      </c>
      <c r="K24" s="36" t="n">
        <v>5342</v>
      </c>
      <c r="L24" s="36" t="n">
        <v>459</v>
      </c>
      <c r="M24" s="36" t="n">
        <v>1718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1416</v>
      </c>
      <c r="E25" s="36" t="n">
        <v>7736</v>
      </c>
      <c r="F25" s="36" t="n">
        <v>116</v>
      </c>
      <c r="G25" s="36" t="n">
        <v>337</v>
      </c>
      <c r="H25" s="36" t="n">
        <v>0</v>
      </c>
      <c r="I25" s="36" t="n">
        <v>0</v>
      </c>
      <c r="J25" s="36" t="n">
        <v>105</v>
      </c>
      <c r="K25" s="36" t="n">
        <v>481</v>
      </c>
      <c r="L25" s="36" t="n">
        <v>40</v>
      </c>
      <c r="M25" s="36" t="n">
        <v>148</v>
      </c>
    </row>
    <row r="26" ht="12" customFormat="1" customHeight="1" s="22">
      <c r="A26" s="36" t="inlineStr">
        <is>
          <t>Område 6: Nordmøre og Sør-Trøndelag</t>
        </is>
      </c>
      <c r="B26" s="36" t="n">
        <v>0</v>
      </c>
      <c r="C26" s="36" t="n">
        <v>0</v>
      </c>
      <c r="D26" s="36" t="n">
        <v>5271</v>
      </c>
      <c r="E26" s="36" t="n">
        <v>25682</v>
      </c>
      <c r="F26" s="36" t="n">
        <v>138</v>
      </c>
      <c r="G26" s="36" t="n">
        <v>569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0</v>
      </c>
      <c r="C27" s="36" t="n">
        <v>0</v>
      </c>
      <c r="D27" s="36" t="n">
        <v>2449</v>
      </c>
      <c r="E27" s="36" t="n">
        <v>12650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0</v>
      </c>
      <c r="C28" s="36" t="n">
        <v>0</v>
      </c>
      <c r="D28" s="36" t="n">
        <v>3497</v>
      </c>
      <c r="E28" s="36" t="n">
        <v>16685</v>
      </c>
      <c r="F28" s="36" t="n">
        <v>119</v>
      </c>
      <c r="G28" s="36" t="n">
        <v>505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0</v>
      </c>
      <c r="C29" s="36" t="n">
        <v>0</v>
      </c>
      <c r="D29" s="36" t="n">
        <v>2889</v>
      </c>
      <c r="E29" s="36" t="n">
        <v>13474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0</v>
      </c>
      <c r="C30" s="36" t="n">
        <v>0</v>
      </c>
      <c r="D30" s="36" t="n">
        <v>3393</v>
      </c>
      <c r="E30" s="36" t="n">
        <v>16695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0</v>
      </c>
      <c r="C31" s="36" t="n">
        <v>0</v>
      </c>
      <c r="D31" s="36" t="n">
        <v>1812</v>
      </c>
      <c r="E31" s="36" t="n">
        <v>8765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434</v>
      </c>
      <c r="C32" s="36" t="n">
        <v>2214</v>
      </c>
      <c r="D32" s="36" t="n">
        <v>3350</v>
      </c>
      <c r="E32" s="36" t="n">
        <v>16470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0</v>
      </c>
      <c r="C33" s="36" t="n">
        <v>0</v>
      </c>
      <c r="D33" s="36" t="n">
        <v>391</v>
      </c>
      <c r="E33" s="36" t="n">
        <v>2349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0</v>
      </c>
      <c r="C34" s="36" t="n">
        <v>0</v>
      </c>
      <c r="D34" s="36" t="n">
        <v>132</v>
      </c>
      <c r="E34" s="36" t="n">
        <v>987</v>
      </c>
      <c r="F34" s="36" t="n">
        <v>12</v>
      </c>
      <c r="G34" s="36" t="n">
        <v>35</v>
      </c>
      <c r="H34" s="36" t="n">
        <v>11</v>
      </c>
      <c r="I34" s="36" t="n">
        <v>55</v>
      </c>
      <c r="J34" s="36" t="n">
        <v>74</v>
      </c>
      <c r="K34" s="36" t="n">
        <v>330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501</v>
      </c>
      <c r="C35" s="37" t="n">
        <v>2483</v>
      </c>
      <c r="D35" s="37" t="n">
        <v>29687</v>
      </c>
      <c r="E35" s="37" t="n">
        <v>145635</v>
      </c>
      <c r="F35" s="37" t="n">
        <v>1826</v>
      </c>
      <c r="G35" s="37" t="n">
        <v>6549</v>
      </c>
      <c r="H35" s="37" t="n">
        <v>103</v>
      </c>
      <c r="I35" s="37" t="n">
        <v>427</v>
      </c>
      <c r="J35" s="37" t="n">
        <v>1304</v>
      </c>
      <c r="K35" s="37" t="n">
        <v>6179</v>
      </c>
      <c r="L35" s="37" t="n">
        <v>500</v>
      </c>
      <c r="M35" s="37" t="n">
        <v>1870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2023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desember 2023.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desember 2023.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33</v>
      </c>
      <c r="E21" s="36" t="n">
        <v>187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1233</v>
      </c>
      <c r="E22" s="36" t="n">
        <v>6410</v>
      </c>
      <c r="F22" s="36" t="n">
        <v>111</v>
      </c>
      <c r="G22" s="36" t="n">
        <v>624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0</v>
      </c>
      <c r="C23" s="36" t="n">
        <v>0</v>
      </c>
      <c r="D23" s="36" t="n">
        <v>2116</v>
      </c>
      <c r="E23" s="36" t="n">
        <v>8620</v>
      </c>
      <c r="F23" s="36" t="n">
        <v>1435</v>
      </c>
      <c r="G23" s="36" t="n">
        <v>5100</v>
      </c>
      <c r="H23" s="36" t="n">
        <v>0</v>
      </c>
      <c r="I23" s="36" t="n">
        <v>0</v>
      </c>
      <c r="J23" s="36" t="n">
        <v>117</v>
      </c>
      <c r="K23" s="36" t="n">
        <v>526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77</v>
      </c>
      <c r="C24" s="36" t="n">
        <v>290</v>
      </c>
      <c r="D24" s="36" t="n">
        <v>1508</v>
      </c>
      <c r="E24" s="36" t="n">
        <v>8359</v>
      </c>
      <c r="F24" s="36" t="n">
        <v>231</v>
      </c>
      <c r="G24" s="36" t="n">
        <v>743</v>
      </c>
      <c r="H24" s="36" t="n">
        <v>69</v>
      </c>
      <c r="I24" s="36" t="n">
        <v>269</v>
      </c>
      <c r="J24" s="36" t="n">
        <v>738</v>
      </c>
      <c r="K24" s="36" t="n">
        <v>3238</v>
      </c>
      <c r="L24" s="36" t="n">
        <v>387</v>
      </c>
      <c r="M24" s="36" t="n">
        <v>1452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1637</v>
      </c>
      <c r="E25" s="36" t="n">
        <v>9791</v>
      </c>
      <c r="F25" s="36" t="n">
        <v>301</v>
      </c>
      <c r="G25" s="36" t="n">
        <v>1214</v>
      </c>
      <c r="H25" s="36" t="n">
        <v>0</v>
      </c>
      <c r="I25" s="36" t="n">
        <v>0</v>
      </c>
      <c r="J25" s="36" t="n">
        <v>130</v>
      </c>
      <c r="K25" s="36" t="n">
        <v>701</v>
      </c>
      <c r="L25" s="36" t="n">
        <v>106</v>
      </c>
      <c r="M25" s="36" t="n">
        <v>381</v>
      </c>
    </row>
    <row r="26" ht="12" customFormat="1" customHeight="1" s="22">
      <c r="A26" s="36" t="inlineStr">
        <is>
          <t>Område 6: Nordmøre og Sør-Trøndelag</t>
        </is>
      </c>
      <c r="B26" s="36" t="n">
        <v>0</v>
      </c>
      <c r="C26" s="36" t="n">
        <v>0</v>
      </c>
      <c r="D26" s="36" t="n">
        <v>3785</v>
      </c>
      <c r="E26" s="36" t="n">
        <v>18620</v>
      </c>
      <c r="F26" s="36" t="n">
        <v>434</v>
      </c>
      <c r="G26" s="36" t="n">
        <v>1815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0</v>
      </c>
      <c r="C27" s="36" t="n">
        <v>0</v>
      </c>
      <c r="D27" s="36" t="n">
        <v>1215</v>
      </c>
      <c r="E27" s="36" t="n">
        <v>5865</v>
      </c>
      <c r="F27" s="36" t="n">
        <v>162</v>
      </c>
      <c r="G27" s="36" t="n">
        <v>612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0</v>
      </c>
      <c r="C28" s="36" t="n">
        <v>0</v>
      </c>
      <c r="D28" s="36" t="n">
        <v>2735</v>
      </c>
      <c r="E28" s="36" t="n">
        <v>13099</v>
      </c>
      <c r="F28" s="36" t="n">
        <v>151</v>
      </c>
      <c r="G28" s="36" t="n">
        <v>459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0</v>
      </c>
      <c r="C29" s="36" t="n">
        <v>0</v>
      </c>
      <c r="D29" s="36" t="n">
        <v>2374</v>
      </c>
      <c r="E29" s="36" t="n">
        <v>11051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0</v>
      </c>
      <c r="C30" s="36" t="n">
        <v>0</v>
      </c>
      <c r="D30" s="36" t="n">
        <v>3328</v>
      </c>
      <c r="E30" s="36" t="n">
        <v>14649</v>
      </c>
      <c r="F30" s="36" t="n">
        <v>36</v>
      </c>
      <c r="G30" s="36" t="n">
        <v>67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0</v>
      </c>
      <c r="C31" s="36" t="n">
        <v>0</v>
      </c>
      <c r="D31" s="36" t="n">
        <v>2107</v>
      </c>
      <c r="E31" s="36" t="n">
        <v>10012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0</v>
      </c>
      <c r="C32" s="36" t="n">
        <v>0</v>
      </c>
      <c r="D32" s="36" t="n">
        <v>1144</v>
      </c>
      <c r="E32" s="36" t="n">
        <v>5544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0</v>
      </c>
      <c r="C33" s="36" t="n">
        <v>0</v>
      </c>
      <c r="D33" s="36" t="n">
        <v>192</v>
      </c>
      <c r="E33" s="36" t="n">
        <v>1197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0</v>
      </c>
      <c r="C34" s="36" t="n">
        <v>0</v>
      </c>
      <c r="D34" s="36" t="n">
        <v>86</v>
      </c>
      <c r="E34" s="36" t="n">
        <v>607</v>
      </c>
      <c r="F34" s="36" t="n">
        <v>18</v>
      </c>
      <c r="G34" s="36" t="n">
        <v>79</v>
      </c>
      <c r="H34" s="36" t="n">
        <v>0</v>
      </c>
      <c r="I34" s="36" t="n">
        <v>0</v>
      </c>
      <c r="J34" s="36" t="n">
        <v>66</v>
      </c>
      <c r="K34" s="36" t="n">
        <v>223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77</v>
      </c>
      <c r="C35" s="37" t="n">
        <v>290</v>
      </c>
      <c r="D35" s="37" t="n">
        <v>23493</v>
      </c>
      <c r="E35" s="37" t="n">
        <v>114011</v>
      </c>
      <c r="F35" s="37" t="n">
        <v>2879</v>
      </c>
      <c r="G35" s="37" t="n">
        <v>10712</v>
      </c>
      <c r="H35" s="37" t="n">
        <v>69</v>
      </c>
      <c r="I35" s="37" t="n">
        <v>269</v>
      </c>
      <c r="J35" s="37" t="n">
        <v>1051</v>
      </c>
      <c r="K35" s="37" t="n">
        <v>4688</v>
      </c>
      <c r="L35" s="37" t="n">
        <v>493</v>
      </c>
      <c r="M35" s="37" t="n">
        <v>1833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2022-02-17T07:55:34Z</dcterms:created>
  <dcterms:modified xmlns:dcterms="http://purl.org/dc/terms/" xmlns:xsi="http://www.w3.org/2001/XMLSchema-instance" xsi:type="dcterms:W3CDTF">2026-02-17T10:34:15Z</dcterms:modified>
  <cp:lastModifiedBy>Stein Olav Kolle</cp:lastModifiedBy>
</cp:coreProperties>
</file>