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14]mmmm\ yyyy;@"/>
  </numFmts>
  <fonts count="19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color rgb="FF14406B"/>
      <sz val="14"/>
    </font>
    <font>
      <name val="Arial"/>
      <family val="2"/>
      <b val="1"/>
      <sz val="14"/>
    </font>
    <font>
      <name val="Arial"/>
      <family val="2"/>
      <b val="1"/>
      <color rgb="FF14406B"/>
      <sz val="10"/>
    </font>
    <font>
      <name val="Arial"/>
      <family val="2"/>
      <color rgb="FF0033A0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2"/>
    </font>
    <font>
      <name val="Arial"/>
      <family val="2"/>
      <b val="1"/>
      <color rgb="FF14406B"/>
      <sz val="9"/>
    </font>
    <font>
      <name val="Arial"/>
      <family val="2"/>
      <color theme="1"/>
      <sz val="9"/>
    </font>
    <font>
      <name val="Arial"/>
      <family val="2"/>
      <b val="1"/>
      <color indexed="8"/>
      <sz val="12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1" fillId="2" borderId="0" pivotButton="0" quotePrefix="0" xfId="0"/>
    <xf numFmtId="0" fontId="11" fillId="2" borderId="0" applyAlignment="1" pivotButton="0" quotePrefix="0" xfId="0">
      <alignment horizontal="right"/>
    </xf>
    <xf numFmtId="0" fontId="10" fillId="0" borderId="0" pivotButton="0" quotePrefix="0" xfId="0"/>
    <xf numFmtId="0" fontId="8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3" fontId="11" fillId="2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0" borderId="0" pivotButton="0" quotePrefix="0" xfId="0"/>
    <xf numFmtId="0" fontId="18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januar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januar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479</v>
      </c>
      <c r="C21" s="36" t="n">
        <v>2295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1010</v>
      </c>
      <c r="C22" s="36" t="n">
        <v>5370</v>
      </c>
      <c r="D22" s="36" t="n">
        <v>544</v>
      </c>
      <c r="E22" s="36" t="n">
        <v>2716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912</v>
      </c>
      <c r="C23" s="36" t="n">
        <v>5244</v>
      </c>
      <c r="D23" s="36" t="n">
        <v>2194</v>
      </c>
      <c r="E23" s="36" t="n">
        <v>8800</v>
      </c>
      <c r="F23" s="36" t="n">
        <v>0</v>
      </c>
      <c r="G23" s="36" t="n">
        <v>0</v>
      </c>
      <c r="H23" s="36" t="n">
        <v>106</v>
      </c>
      <c r="I23" s="36" t="n">
        <v>448</v>
      </c>
      <c r="J23" s="36" t="n">
        <v>43</v>
      </c>
      <c r="K23" s="36" t="n">
        <v>196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1028</v>
      </c>
      <c r="C24" s="36" t="n">
        <v>5268</v>
      </c>
      <c r="D24" s="36" t="n">
        <v>496</v>
      </c>
      <c r="E24" s="36" t="n">
        <v>2029</v>
      </c>
      <c r="F24" s="36" t="n">
        <v>0</v>
      </c>
      <c r="G24" s="36" t="n">
        <v>0</v>
      </c>
      <c r="H24" s="36" t="n">
        <v>877</v>
      </c>
      <c r="I24" s="36" t="n">
        <v>4220</v>
      </c>
      <c r="J24" s="36" t="n">
        <v>781</v>
      </c>
      <c r="K24" s="36" t="n">
        <v>3288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648</v>
      </c>
      <c r="C25" s="36" t="n">
        <v>3205</v>
      </c>
      <c r="D25" s="36" t="n">
        <v>580</v>
      </c>
      <c r="E25" s="36" t="n">
        <v>2426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130</v>
      </c>
      <c r="K25" s="36" t="n">
        <v>528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2748</v>
      </c>
      <c r="C26" s="36" t="n">
        <v>13309</v>
      </c>
      <c r="D26" s="36" t="n">
        <v>613</v>
      </c>
      <c r="E26" s="36" t="n">
        <v>2011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1483</v>
      </c>
      <c r="C27" s="36" t="n">
        <v>6960</v>
      </c>
      <c r="D27" s="36" t="n">
        <v>440</v>
      </c>
      <c r="E27" s="36" t="n">
        <v>937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2290</v>
      </c>
      <c r="C28" s="36" t="n">
        <v>10236</v>
      </c>
      <c r="D28" s="36" t="n">
        <v>281</v>
      </c>
      <c r="E28" s="36" t="n">
        <v>1142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3641</v>
      </c>
      <c r="C29" s="36" t="n">
        <v>18473</v>
      </c>
      <c r="D29" s="36" t="n">
        <v>81</v>
      </c>
      <c r="E29" s="36" t="n">
        <v>320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1239</v>
      </c>
      <c r="C30" s="36" t="n">
        <v>5840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1448</v>
      </c>
      <c r="C31" s="36" t="n">
        <v>6227</v>
      </c>
      <c r="D31" s="36" t="n">
        <v>78</v>
      </c>
      <c r="E31" s="36" t="n">
        <v>350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1914</v>
      </c>
      <c r="C32" s="36" t="n">
        <v>8868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290</v>
      </c>
      <c r="C33" s="36" t="n">
        <v>1972</v>
      </c>
      <c r="D33" s="36" t="n">
        <v>36</v>
      </c>
      <c r="E33" s="36" t="n">
        <v>142</v>
      </c>
      <c r="F33" s="36" t="n">
        <v>0</v>
      </c>
      <c r="G33" s="36" t="n">
        <v>0</v>
      </c>
      <c r="H33" s="36" t="n">
        <v>13</v>
      </c>
      <c r="I33" s="36" t="n">
        <v>97</v>
      </c>
      <c r="J33" s="36" t="n">
        <v>43</v>
      </c>
      <c r="K33" s="36" t="n">
        <v>171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19129</v>
      </c>
      <c r="C34" s="37" t="n">
        <v>93267</v>
      </c>
      <c r="D34" s="37" t="n">
        <v>5343</v>
      </c>
      <c r="E34" s="37" t="n">
        <v>20873</v>
      </c>
      <c r="F34" s="37" t="n">
        <v>0</v>
      </c>
      <c r="G34" s="37" t="n">
        <v>0</v>
      </c>
      <c r="H34" s="37" t="n">
        <v>996</v>
      </c>
      <c r="I34" s="37" t="n">
        <v>4765</v>
      </c>
      <c r="J34" s="37" t="n">
        <v>997</v>
      </c>
      <c r="K34" s="37" t="n">
        <v>4183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februar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februar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563</v>
      </c>
      <c r="C21" s="36" t="n">
        <v>3152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624</v>
      </c>
      <c r="C22" s="36" t="n">
        <v>3977</v>
      </c>
      <c r="D22" s="36" t="n">
        <v>930</v>
      </c>
      <c r="E22" s="36" t="n">
        <v>4467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247</v>
      </c>
      <c r="C23" s="36" t="n">
        <v>1280</v>
      </c>
      <c r="D23" s="36" t="n">
        <v>2233</v>
      </c>
      <c r="E23" s="36" t="n">
        <v>9947</v>
      </c>
      <c r="F23" s="36" t="n">
        <v>0</v>
      </c>
      <c r="G23" s="36" t="n">
        <v>0</v>
      </c>
      <c r="H23" s="36" t="n">
        <v>111</v>
      </c>
      <c r="I23" s="36" t="n">
        <v>464</v>
      </c>
      <c r="J23" s="36" t="n">
        <v>120</v>
      </c>
      <c r="K23" s="36" t="n">
        <v>572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589</v>
      </c>
      <c r="C24" s="36" t="n">
        <v>3368</v>
      </c>
      <c r="D24" s="36" t="n">
        <v>605</v>
      </c>
      <c r="E24" s="36" t="n">
        <v>2479</v>
      </c>
      <c r="F24" s="36" t="n">
        <v>0</v>
      </c>
      <c r="G24" s="36" t="n">
        <v>0</v>
      </c>
      <c r="H24" s="36" t="n">
        <v>660</v>
      </c>
      <c r="I24" s="36" t="n">
        <v>3059</v>
      </c>
      <c r="J24" s="36" t="n">
        <v>500</v>
      </c>
      <c r="K24" s="36" t="n">
        <v>2103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311</v>
      </c>
      <c r="C25" s="36" t="n">
        <v>1748</v>
      </c>
      <c r="D25" s="36" t="n">
        <v>602</v>
      </c>
      <c r="E25" s="36" t="n">
        <v>2269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206</v>
      </c>
      <c r="K25" s="36" t="n">
        <v>894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2142</v>
      </c>
      <c r="C26" s="36" t="n">
        <v>10935</v>
      </c>
      <c r="D26" s="36" t="n">
        <v>876</v>
      </c>
      <c r="E26" s="36" t="n">
        <v>2833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1794</v>
      </c>
      <c r="C27" s="36" t="n">
        <v>8274</v>
      </c>
      <c r="D27" s="36" t="n">
        <v>634</v>
      </c>
      <c r="E27" s="36" t="n">
        <v>2162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1227</v>
      </c>
      <c r="C28" s="36" t="n">
        <v>6186</v>
      </c>
      <c r="D28" s="36" t="n">
        <v>839</v>
      </c>
      <c r="E28" s="36" t="n">
        <v>3591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2800</v>
      </c>
      <c r="C29" s="36" t="n">
        <v>14532</v>
      </c>
      <c r="D29" s="36" t="n">
        <v>202</v>
      </c>
      <c r="E29" s="36" t="n">
        <v>756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1510</v>
      </c>
      <c r="C30" s="36" t="n">
        <v>6450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979</v>
      </c>
      <c r="C31" s="36" t="n">
        <v>4313</v>
      </c>
      <c r="D31" s="36" t="n">
        <v>358</v>
      </c>
      <c r="E31" s="36" t="n">
        <v>1402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2389</v>
      </c>
      <c r="C32" s="36" t="n">
        <v>11015</v>
      </c>
      <c r="D32" s="36" t="n">
        <v>0</v>
      </c>
      <c r="E32" s="36" t="n">
        <v>0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72</v>
      </c>
      <c r="C33" s="36" t="n">
        <v>384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159</v>
      </c>
      <c r="C34" s="36" t="n">
        <v>987</v>
      </c>
      <c r="D34" s="36" t="n">
        <v>75</v>
      </c>
      <c r="E34" s="36" t="n">
        <v>294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32</v>
      </c>
      <c r="K34" s="36" t="n">
        <v>141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15405</v>
      </c>
      <c r="C35" s="37" t="n">
        <v>76602</v>
      </c>
      <c r="D35" s="37" t="n">
        <v>7353</v>
      </c>
      <c r="E35" s="37" t="n">
        <v>30202</v>
      </c>
      <c r="F35" s="37" t="n">
        <v>0</v>
      </c>
      <c r="G35" s="37" t="n">
        <v>0</v>
      </c>
      <c r="H35" s="37" t="n">
        <v>771</v>
      </c>
      <c r="I35" s="37" t="n">
        <v>3523</v>
      </c>
      <c r="J35" s="37" t="n">
        <v>858</v>
      </c>
      <c r="K35" s="37" t="n">
        <v>3710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mars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mars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86</v>
      </c>
      <c r="C21" s="36" t="n">
        <v>630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943</v>
      </c>
      <c r="C22" s="36" t="n">
        <v>6526</v>
      </c>
      <c r="D22" s="36" t="n">
        <v>799</v>
      </c>
      <c r="E22" s="36" t="n">
        <v>3491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521</v>
      </c>
      <c r="C23" s="36" t="n">
        <v>2992</v>
      </c>
      <c r="D23" s="36" t="n">
        <v>2436</v>
      </c>
      <c r="E23" s="36" t="n">
        <v>12640</v>
      </c>
      <c r="F23" s="36" t="n">
        <v>0</v>
      </c>
      <c r="G23" s="36" t="n">
        <v>0</v>
      </c>
      <c r="H23" s="36" t="n">
        <v>216</v>
      </c>
      <c r="I23" s="36" t="n">
        <v>984</v>
      </c>
      <c r="J23" s="36" t="n">
        <v>48</v>
      </c>
      <c r="K23" s="36" t="n">
        <v>208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47</v>
      </c>
      <c r="C24" s="36" t="n">
        <v>301</v>
      </c>
      <c r="D24" s="36" t="n">
        <v>522</v>
      </c>
      <c r="E24" s="36" t="n">
        <v>2152</v>
      </c>
      <c r="F24" s="36" t="n">
        <v>0</v>
      </c>
      <c r="G24" s="36" t="n">
        <v>0</v>
      </c>
      <c r="H24" s="36" t="n">
        <v>470</v>
      </c>
      <c r="I24" s="36" t="n">
        <v>2115</v>
      </c>
      <c r="J24" s="36" t="n">
        <v>880</v>
      </c>
      <c r="K24" s="36" t="n">
        <v>3672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975</v>
      </c>
      <c r="C25" s="36" t="n">
        <v>5192</v>
      </c>
      <c r="D25" s="36" t="n">
        <v>997</v>
      </c>
      <c r="E25" s="36" t="n">
        <v>3670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111</v>
      </c>
      <c r="K25" s="36" t="n">
        <v>537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1639</v>
      </c>
      <c r="C26" s="36" t="n">
        <v>9330</v>
      </c>
      <c r="D26" s="36" t="n">
        <v>1688</v>
      </c>
      <c r="E26" s="36" t="n">
        <v>8252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40</v>
      </c>
      <c r="K26" s="36" t="n">
        <v>171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2144</v>
      </c>
      <c r="C27" s="36" t="n">
        <v>11152</v>
      </c>
      <c r="D27" s="36" t="n">
        <v>407</v>
      </c>
      <c r="E27" s="36" t="n">
        <v>1397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1040</v>
      </c>
      <c r="C28" s="36" t="n">
        <v>5257</v>
      </c>
      <c r="D28" s="36" t="n">
        <v>719</v>
      </c>
      <c r="E28" s="36" t="n">
        <v>2894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3412</v>
      </c>
      <c r="C29" s="36" t="n">
        <v>18110</v>
      </c>
      <c r="D29" s="36" t="n">
        <v>532</v>
      </c>
      <c r="E29" s="36" t="n">
        <v>2066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2151</v>
      </c>
      <c r="C30" s="36" t="n">
        <v>10439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1778</v>
      </c>
      <c r="C31" s="36" t="n">
        <v>7984</v>
      </c>
      <c r="D31" s="36" t="n">
        <v>372</v>
      </c>
      <c r="E31" s="36" t="n">
        <v>1603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2301</v>
      </c>
      <c r="C32" s="36" t="n">
        <v>10103</v>
      </c>
      <c r="D32" s="36" t="n">
        <v>54</v>
      </c>
      <c r="E32" s="36" t="n">
        <v>64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552</v>
      </c>
      <c r="C33" s="36" t="n">
        <v>2806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32</v>
      </c>
      <c r="C34" s="36" t="n">
        <v>468</v>
      </c>
      <c r="D34" s="36" t="n">
        <v>177</v>
      </c>
      <c r="E34" s="36" t="n">
        <v>637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88</v>
      </c>
      <c r="K34" s="36" t="n">
        <v>411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17623</v>
      </c>
      <c r="C35" s="37" t="n">
        <v>91288</v>
      </c>
      <c r="D35" s="37" t="n">
        <v>8704</v>
      </c>
      <c r="E35" s="37" t="n">
        <v>38866</v>
      </c>
      <c r="F35" s="37" t="n">
        <v>0</v>
      </c>
      <c r="G35" s="37" t="n">
        <v>0</v>
      </c>
      <c r="H35" s="37" t="n">
        <v>686</v>
      </c>
      <c r="I35" s="37" t="n">
        <v>3098</v>
      </c>
      <c r="J35" s="37" t="n">
        <v>1166</v>
      </c>
      <c r="K35" s="37" t="n">
        <v>4999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april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april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126</v>
      </c>
      <c r="C21" s="36" t="n">
        <v>1072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408</v>
      </c>
      <c r="C22" s="36" t="n">
        <v>2713</v>
      </c>
      <c r="D22" s="36" t="n">
        <v>827</v>
      </c>
      <c r="E22" s="36" t="n">
        <v>4416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638</v>
      </c>
      <c r="C23" s="36" t="n">
        <v>3858</v>
      </c>
      <c r="D23" s="36" t="n">
        <v>3747</v>
      </c>
      <c r="E23" s="36" t="n">
        <v>20534</v>
      </c>
      <c r="F23" s="36" t="n">
        <v>0</v>
      </c>
      <c r="G23" s="36" t="n">
        <v>0</v>
      </c>
      <c r="H23" s="36" t="n">
        <v>433</v>
      </c>
      <c r="I23" s="36" t="n">
        <v>2099</v>
      </c>
      <c r="J23" s="36" t="n">
        <v>126</v>
      </c>
      <c r="K23" s="36" t="n">
        <v>689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364</v>
      </c>
      <c r="C24" s="36" t="n">
        <v>2025</v>
      </c>
      <c r="D24" s="36" t="n">
        <v>1192</v>
      </c>
      <c r="E24" s="36" t="n">
        <v>5059</v>
      </c>
      <c r="F24" s="36" t="n">
        <v>0</v>
      </c>
      <c r="G24" s="36" t="n">
        <v>0</v>
      </c>
      <c r="H24" s="36" t="n">
        <v>186</v>
      </c>
      <c r="I24" s="36" t="n">
        <v>997</v>
      </c>
      <c r="J24" s="36" t="n">
        <v>632</v>
      </c>
      <c r="K24" s="36" t="n">
        <v>2914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335</v>
      </c>
      <c r="C25" s="36" t="n">
        <v>1920</v>
      </c>
      <c r="D25" s="36" t="n">
        <v>1032</v>
      </c>
      <c r="E25" s="36" t="n">
        <v>4186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97</v>
      </c>
      <c r="K25" s="36" t="n">
        <v>402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1360</v>
      </c>
      <c r="C26" s="36" t="n">
        <v>8476</v>
      </c>
      <c r="D26" s="36" t="n">
        <v>1994</v>
      </c>
      <c r="E26" s="36" t="n">
        <v>10725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2314</v>
      </c>
      <c r="C27" s="36" t="n">
        <v>12805</v>
      </c>
      <c r="D27" s="36" t="n">
        <v>770</v>
      </c>
      <c r="E27" s="36" t="n">
        <v>3137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896</v>
      </c>
      <c r="C28" s="36" t="n">
        <v>5132</v>
      </c>
      <c r="D28" s="36" t="n">
        <v>1523</v>
      </c>
      <c r="E28" s="36" t="n">
        <v>7038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1742</v>
      </c>
      <c r="C29" s="36" t="n">
        <v>10144</v>
      </c>
      <c r="D29" s="36" t="n">
        <v>896</v>
      </c>
      <c r="E29" s="36" t="n">
        <v>3594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1571</v>
      </c>
      <c r="C30" s="36" t="n">
        <v>9052</v>
      </c>
      <c r="D30" s="36" t="n">
        <v>130</v>
      </c>
      <c r="E30" s="36" t="n">
        <v>436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1234</v>
      </c>
      <c r="C31" s="36" t="n">
        <v>5811</v>
      </c>
      <c r="D31" s="36" t="n">
        <v>250</v>
      </c>
      <c r="E31" s="36" t="n">
        <v>1423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618</v>
      </c>
      <c r="C32" s="36" t="n">
        <v>2092</v>
      </c>
      <c r="D32" s="36" t="n">
        <v>406</v>
      </c>
      <c r="E32" s="36" t="n">
        <v>492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47</v>
      </c>
      <c r="C33" s="36" t="n">
        <v>235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17</v>
      </c>
      <c r="C34" s="36" t="n">
        <v>195</v>
      </c>
      <c r="D34" s="36" t="n">
        <v>141</v>
      </c>
      <c r="E34" s="36" t="n">
        <v>701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89</v>
      </c>
      <c r="K34" s="36" t="n">
        <v>474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11669</v>
      </c>
      <c r="C35" s="37" t="n">
        <v>65531</v>
      </c>
      <c r="D35" s="37" t="n">
        <v>12910</v>
      </c>
      <c r="E35" s="37" t="n">
        <v>61743</v>
      </c>
      <c r="F35" s="37" t="n">
        <v>0</v>
      </c>
      <c r="G35" s="37" t="n">
        <v>0</v>
      </c>
      <c r="H35" s="37" t="n">
        <v>620</v>
      </c>
      <c r="I35" s="37" t="n">
        <v>3096</v>
      </c>
      <c r="J35" s="37" t="n">
        <v>944</v>
      </c>
      <c r="K35" s="37" t="n">
        <v>4480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mai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mai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50</v>
      </c>
      <c r="C22" s="36" t="n">
        <v>241</v>
      </c>
      <c r="D22" s="36" t="n">
        <v>1130</v>
      </c>
      <c r="E22" s="36" t="n">
        <v>5937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157</v>
      </c>
      <c r="C23" s="36" t="n">
        <v>1006</v>
      </c>
      <c r="D23" s="36" t="n">
        <v>3669</v>
      </c>
      <c r="E23" s="36" t="n">
        <v>19816</v>
      </c>
      <c r="F23" s="36" t="n">
        <v>29</v>
      </c>
      <c r="G23" s="36" t="n">
        <v>171</v>
      </c>
      <c r="H23" s="36" t="n">
        <v>0</v>
      </c>
      <c r="I23" s="36" t="n">
        <v>0</v>
      </c>
      <c r="J23" s="36" t="n">
        <v>202</v>
      </c>
      <c r="K23" s="36" t="n">
        <v>988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82</v>
      </c>
      <c r="C24" s="36" t="n">
        <v>508</v>
      </c>
      <c r="D24" s="36" t="n">
        <v>979</v>
      </c>
      <c r="E24" s="36" t="n">
        <v>4527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1418</v>
      </c>
      <c r="K24" s="36" t="n">
        <v>7173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2063</v>
      </c>
      <c r="E25" s="36" t="n">
        <v>9304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165</v>
      </c>
      <c r="K25" s="36" t="n">
        <v>556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1932</v>
      </c>
      <c r="C26" s="36" t="n">
        <v>11829</v>
      </c>
      <c r="D26" s="36" t="n">
        <v>2825</v>
      </c>
      <c r="E26" s="36" t="n">
        <v>13147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846</v>
      </c>
      <c r="C27" s="36" t="n">
        <v>4502</v>
      </c>
      <c r="D27" s="36" t="n">
        <v>685</v>
      </c>
      <c r="E27" s="36" t="n">
        <v>3206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855</v>
      </c>
      <c r="C28" s="36" t="n">
        <v>4427</v>
      </c>
      <c r="D28" s="36" t="n">
        <v>2015</v>
      </c>
      <c r="E28" s="36" t="n">
        <v>10038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2251</v>
      </c>
      <c r="C29" s="36" t="n">
        <v>12220</v>
      </c>
      <c r="D29" s="36" t="n">
        <v>1870</v>
      </c>
      <c r="E29" s="36" t="n">
        <v>6329</v>
      </c>
      <c r="F29" s="36" t="n">
        <v>104</v>
      </c>
      <c r="G29" s="36" t="n">
        <v>326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1961</v>
      </c>
      <c r="C30" s="36" t="n">
        <v>12355</v>
      </c>
      <c r="D30" s="36" t="n">
        <v>524</v>
      </c>
      <c r="E30" s="36" t="n">
        <v>1956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1038</v>
      </c>
      <c r="C31" s="36" t="n">
        <v>5811</v>
      </c>
      <c r="D31" s="36" t="n">
        <v>176</v>
      </c>
      <c r="E31" s="36" t="n">
        <v>1005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780</v>
      </c>
      <c r="C32" s="36" t="n">
        <v>4091</v>
      </c>
      <c r="D32" s="36" t="n">
        <v>66</v>
      </c>
      <c r="E32" s="36" t="n">
        <v>83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89</v>
      </c>
      <c r="C33" s="36" t="n">
        <v>1066</v>
      </c>
      <c r="D33" s="36" t="n">
        <v>115</v>
      </c>
      <c r="E33" s="36" t="n">
        <v>684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10042</v>
      </c>
      <c r="C34" s="37" t="n">
        <v>58057</v>
      </c>
      <c r="D34" s="37" t="n">
        <v>16117</v>
      </c>
      <c r="E34" s="37" t="n">
        <v>76033</v>
      </c>
      <c r="F34" s="37" t="n">
        <v>134</v>
      </c>
      <c r="G34" s="37" t="n">
        <v>496</v>
      </c>
      <c r="H34" s="37" t="n">
        <v>0</v>
      </c>
      <c r="I34" s="37" t="n">
        <v>0</v>
      </c>
      <c r="J34" s="37" t="n">
        <v>1785</v>
      </c>
      <c r="K34" s="37" t="n">
        <v>8717</v>
      </c>
      <c r="L34" s="37" t="n">
        <v>0</v>
      </c>
      <c r="M34" s="37" t="n">
        <v>0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juni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juni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2375</v>
      </c>
      <c r="E22" s="36" t="n">
        <v>10888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57</v>
      </c>
      <c r="C23" s="36" t="n">
        <v>337</v>
      </c>
      <c r="D23" s="36" t="n">
        <v>3163</v>
      </c>
      <c r="E23" s="36" t="n">
        <v>16183</v>
      </c>
      <c r="F23" s="36" t="n">
        <v>2</v>
      </c>
      <c r="G23" s="36" t="n">
        <v>5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18</v>
      </c>
      <c r="C24" s="36" t="n">
        <v>127</v>
      </c>
      <c r="D24" s="36" t="n">
        <v>1296</v>
      </c>
      <c r="E24" s="36" t="n">
        <v>5641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1609</v>
      </c>
      <c r="K24" s="36" t="n">
        <v>8064</v>
      </c>
      <c r="L24" s="36" t="n">
        <v>0</v>
      </c>
      <c r="M24" s="36" t="n">
        <v>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3010</v>
      </c>
      <c r="E25" s="36" t="n">
        <v>13805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163</v>
      </c>
      <c r="K25" s="36" t="n">
        <v>702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1249</v>
      </c>
      <c r="C26" s="36" t="n">
        <v>6688</v>
      </c>
      <c r="D26" s="36" t="n">
        <v>3702</v>
      </c>
      <c r="E26" s="36" t="n">
        <v>17368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575</v>
      </c>
      <c r="C27" s="36" t="n">
        <v>3304</v>
      </c>
      <c r="D27" s="36" t="n">
        <v>1572</v>
      </c>
      <c r="E27" s="36" t="n">
        <v>7157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601</v>
      </c>
      <c r="C28" s="36" t="n">
        <v>3134</v>
      </c>
      <c r="D28" s="36" t="n">
        <v>2494</v>
      </c>
      <c r="E28" s="36" t="n">
        <v>11926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867</v>
      </c>
      <c r="C29" s="36" t="n">
        <v>4740</v>
      </c>
      <c r="D29" s="36" t="n">
        <v>1773</v>
      </c>
      <c r="E29" s="36" t="n">
        <v>7370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2293</v>
      </c>
      <c r="C30" s="36" t="n">
        <v>13709</v>
      </c>
      <c r="D30" s="36" t="n">
        <v>986</v>
      </c>
      <c r="E30" s="36" t="n">
        <v>3737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390</v>
      </c>
      <c r="C31" s="36" t="n">
        <v>2199</v>
      </c>
      <c r="D31" s="36" t="n">
        <v>563</v>
      </c>
      <c r="E31" s="36" t="n">
        <v>2553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896</v>
      </c>
      <c r="C32" s="36" t="n">
        <v>4744</v>
      </c>
      <c r="D32" s="36" t="n">
        <v>129</v>
      </c>
      <c r="E32" s="36" t="n">
        <v>198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282</v>
      </c>
      <c r="E33" s="36" t="n">
        <v>1604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56</v>
      </c>
      <c r="C34" s="36" t="n">
        <v>712</v>
      </c>
      <c r="D34" s="36" t="n">
        <v>302</v>
      </c>
      <c r="E34" s="36" t="n">
        <v>1611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38</v>
      </c>
      <c r="K34" s="36" t="n">
        <v>204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7003</v>
      </c>
      <c r="C35" s="37" t="n">
        <v>39694</v>
      </c>
      <c r="D35" s="37" t="n">
        <v>21648</v>
      </c>
      <c r="E35" s="37" t="n">
        <v>100042</v>
      </c>
      <c r="F35" s="37" t="n">
        <v>2</v>
      </c>
      <c r="G35" s="37" t="n">
        <v>5</v>
      </c>
      <c r="H35" s="37" t="n">
        <v>0</v>
      </c>
      <c r="I35" s="37" t="n">
        <v>0</v>
      </c>
      <c r="J35" s="37" t="n">
        <v>1810</v>
      </c>
      <c r="K35" s="37" t="n">
        <v>8970</v>
      </c>
      <c r="L35" s="37" t="n">
        <v>0</v>
      </c>
      <c r="M35" s="37" t="n">
        <v>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juli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juli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2522</v>
      </c>
      <c r="E22" s="36" t="n">
        <v>11733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0</v>
      </c>
      <c r="C23" s="36" t="n">
        <v>0</v>
      </c>
      <c r="D23" s="36" t="n">
        <v>3452</v>
      </c>
      <c r="E23" s="36" t="n">
        <v>16450</v>
      </c>
      <c r="F23" s="36" t="n">
        <v>0</v>
      </c>
      <c r="G23" s="36" t="n">
        <v>1</v>
      </c>
      <c r="H23" s="36" t="n">
        <v>0</v>
      </c>
      <c r="I23" s="36" t="n">
        <v>0</v>
      </c>
      <c r="J23" s="36" t="n">
        <v>256</v>
      </c>
      <c r="K23" s="36" t="n">
        <v>1298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1570</v>
      </c>
      <c r="E24" s="36" t="n">
        <v>6660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2164</v>
      </c>
      <c r="K24" s="36" t="n">
        <v>9802</v>
      </c>
      <c r="L24" s="36" t="n">
        <v>2</v>
      </c>
      <c r="M24" s="36" t="n">
        <v>4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4119</v>
      </c>
      <c r="E25" s="36" t="n">
        <v>19148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313</v>
      </c>
      <c r="K25" s="36" t="n">
        <v>1541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481</v>
      </c>
      <c r="C26" s="36" t="n">
        <v>2668</v>
      </c>
      <c r="D26" s="36" t="n">
        <v>4929</v>
      </c>
      <c r="E26" s="36" t="n">
        <v>24677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181</v>
      </c>
      <c r="C27" s="36" t="n">
        <v>975</v>
      </c>
      <c r="D27" s="36" t="n">
        <v>2470</v>
      </c>
      <c r="E27" s="36" t="n">
        <v>12276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4279</v>
      </c>
      <c r="E28" s="36" t="n">
        <v>20852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135</v>
      </c>
      <c r="C29" s="36" t="n">
        <v>749</v>
      </c>
      <c r="D29" s="36" t="n">
        <v>2033</v>
      </c>
      <c r="E29" s="36" t="n">
        <v>8957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531</v>
      </c>
      <c r="C30" s="36" t="n">
        <v>3345</v>
      </c>
      <c r="D30" s="36" t="n">
        <v>2335</v>
      </c>
      <c r="E30" s="36" t="n">
        <v>10940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190</v>
      </c>
      <c r="C31" s="36" t="n">
        <v>1409</v>
      </c>
      <c r="D31" s="36" t="n">
        <v>2252</v>
      </c>
      <c r="E31" s="36" t="n">
        <v>9433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947</v>
      </c>
      <c r="C32" s="36" t="n">
        <v>5486</v>
      </c>
      <c r="D32" s="36" t="n">
        <v>1269</v>
      </c>
      <c r="E32" s="36" t="n">
        <v>5585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422</v>
      </c>
      <c r="E33" s="36" t="n">
        <v>2425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2</v>
      </c>
      <c r="C34" s="36" t="n">
        <v>19</v>
      </c>
      <c r="D34" s="36" t="n">
        <v>119</v>
      </c>
      <c r="E34" s="36" t="n">
        <v>560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0</v>
      </c>
      <c r="K34" s="36" t="n">
        <v>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2466</v>
      </c>
      <c r="C35" s="37" t="n">
        <v>14652</v>
      </c>
      <c r="D35" s="37" t="n">
        <v>31770</v>
      </c>
      <c r="E35" s="37" t="n">
        <v>149697</v>
      </c>
      <c r="F35" s="37" t="n">
        <v>0</v>
      </c>
      <c r="G35" s="37" t="n">
        <v>1</v>
      </c>
      <c r="H35" s="37" t="n">
        <v>0</v>
      </c>
      <c r="I35" s="37" t="n">
        <v>0</v>
      </c>
      <c r="J35" s="37" t="n">
        <v>2733</v>
      </c>
      <c r="K35" s="37" t="n">
        <v>12641</v>
      </c>
      <c r="L35" s="37" t="n">
        <v>2</v>
      </c>
      <c r="M35" s="37" t="n">
        <v>4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august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august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2379</v>
      </c>
      <c r="E22" s="36" t="n">
        <v>10979</v>
      </c>
      <c r="F22" s="36" t="n">
        <v>104</v>
      </c>
      <c r="G22" s="36" t="n">
        <v>338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53</v>
      </c>
      <c r="C23" s="36" t="n">
        <v>265</v>
      </c>
      <c r="D23" s="36" t="n">
        <v>2711</v>
      </c>
      <c r="E23" s="36" t="n">
        <v>11904</v>
      </c>
      <c r="F23" s="36" t="n">
        <v>532</v>
      </c>
      <c r="G23" s="36" t="n">
        <v>1510</v>
      </c>
      <c r="H23" s="36" t="n">
        <v>0</v>
      </c>
      <c r="I23" s="36" t="n">
        <v>0</v>
      </c>
      <c r="J23" s="36" t="n">
        <v>44</v>
      </c>
      <c r="K23" s="36" t="n">
        <v>231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3</v>
      </c>
      <c r="C24" s="36" t="n">
        <v>10</v>
      </c>
      <c r="D24" s="36" t="n">
        <v>1416</v>
      </c>
      <c r="E24" s="36" t="n">
        <v>6002</v>
      </c>
      <c r="F24" s="36" t="n">
        <v>0</v>
      </c>
      <c r="G24" s="36" t="n">
        <v>0</v>
      </c>
      <c r="H24" s="36" t="n">
        <v>0</v>
      </c>
      <c r="I24" s="36" t="n">
        <v>0</v>
      </c>
      <c r="J24" s="36" t="n">
        <v>1844</v>
      </c>
      <c r="K24" s="36" t="n">
        <v>9052</v>
      </c>
      <c r="L24" s="36" t="n">
        <v>24</v>
      </c>
      <c r="M24" s="36" t="n">
        <v>50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3076</v>
      </c>
      <c r="E25" s="36" t="n">
        <v>14893</v>
      </c>
      <c r="F25" s="36" t="n">
        <v>0</v>
      </c>
      <c r="G25" s="36" t="n">
        <v>0</v>
      </c>
      <c r="H25" s="36" t="n">
        <v>0</v>
      </c>
      <c r="I25" s="36" t="n">
        <v>0</v>
      </c>
      <c r="J25" s="36" t="n">
        <v>342</v>
      </c>
      <c r="K25" s="36" t="n">
        <v>1584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174</v>
      </c>
      <c r="C26" s="36" t="n">
        <v>1071</v>
      </c>
      <c r="D26" s="36" t="n">
        <v>5503</v>
      </c>
      <c r="E26" s="36" t="n">
        <v>23587</v>
      </c>
      <c r="F26" s="36" t="n">
        <v>142</v>
      </c>
      <c r="G26" s="36" t="n">
        <v>458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2817</v>
      </c>
      <c r="E27" s="36" t="n">
        <v>12110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4113</v>
      </c>
      <c r="E28" s="36" t="n">
        <v>21040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679</v>
      </c>
      <c r="C29" s="36" t="n">
        <v>4341</v>
      </c>
      <c r="D29" s="36" t="n">
        <v>3334</v>
      </c>
      <c r="E29" s="36" t="n">
        <v>16203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100</v>
      </c>
      <c r="C30" s="36" t="n">
        <v>613</v>
      </c>
      <c r="D30" s="36" t="n">
        <v>2757</v>
      </c>
      <c r="E30" s="36" t="n">
        <v>13485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119</v>
      </c>
      <c r="C31" s="36" t="n">
        <v>876</v>
      </c>
      <c r="D31" s="36" t="n">
        <v>3326</v>
      </c>
      <c r="E31" s="36" t="n">
        <v>16048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955</v>
      </c>
      <c r="C32" s="36" t="n">
        <v>6487</v>
      </c>
      <c r="D32" s="36" t="n">
        <v>2604</v>
      </c>
      <c r="E32" s="36" t="n">
        <v>11128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469</v>
      </c>
      <c r="E33" s="36" t="n">
        <v>2826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0</v>
      </c>
      <c r="C34" s="36" t="n">
        <v>0</v>
      </c>
      <c r="D34" s="36" t="n">
        <v>326</v>
      </c>
      <c r="E34" s="36" t="n">
        <v>1578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34</v>
      </c>
      <c r="K34" s="36" t="n">
        <v>170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2083</v>
      </c>
      <c r="C35" s="37" t="n">
        <v>13664</v>
      </c>
      <c r="D35" s="37" t="n">
        <v>34832</v>
      </c>
      <c r="E35" s="37" t="n">
        <v>161783</v>
      </c>
      <c r="F35" s="37" t="n">
        <v>779</v>
      </c>
      <c r="G35" s="37" t="n">
        <v>2306</v>
      </c>
      <c r="H35" s="37" t="n">
        <v>0</v>
      </c>
      <c r="I35" s="37" t="n">
        <v>0</v>
      </c>
      <c r="J35" s="37" t="n">
        <v>2264</v>
      </c>
      <c r="K35" s="37" t="n">
        <v>11036</v>
      </c>
      <c r="L35" s="37" t="n">
        <v>24</v>
      </c>
      <c r="M35" s="37" t="n">
        <v>50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september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september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154</v>
      </c>
      <c r="E21" s="36" t="n">
        <v>461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1235</v>
      </c>
      <c r="E22" s="36" t="n">
        <v>6157</v>
      </c>
      <c r="F22" s="36" t="n">
        <v>528</v>
      </c>
      <c r="G22" s="36" t="n">
        <v>1569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48</v>
      </c>
      <c r="C23" s="36" t="n">
        <v>256</v>
      </c>
      <c r="D23" s="36" t="n">
        <v>2256</v>
      </c>
      <c r="E23" s="36" t="n">
        <v>9294</v>
      </c>
      <c r="F23" s="36" t="n">
        <v>220</v>
      </c>
      <c r="G23" s="36" t="n">
        <v>873</v>
      </c>
      <c r="H23" s="36" t="n">
        <v>0</v>
      </c>
      <c r="I23" s="36" t="n">
        <v>0</v>
      </c>
      <c r="J23" s="36" t="n">
        <v>26</v>
      </c>
      <c r="K23" s="36" t="n">
        <v>111</v>
      </c>
      <c r="L23" s="36" t="n">
        <v>93</v>
      </c>
      <c r="M23" s="36" t="n">
        <v>305</v>
      </c>
    </row>
    <row r="24" ht="12" customFormat="1" customHeight="1" s="22">
      <c r="A24" s="36" t="inlineStr">
        <is>
          <t>Område 4: Nordhordland til Stadt</t>
        </is>
      </c>
      <c r="B24" s="36" t="n">
        <v>101</v>
      </c>
      <c r="C24" s="36" t="n">
        <v>440</v>
      </c>
      <c r="D24" s="36" t="n">
        <v>2879</v>
      </c>
      <c r="E24" s="36" t="n">
        <v>11483</v>
      </c>
      <c r="F24" s="36" t="n">
        <v>25</v>
      </c>
      <c r="G24" s="36" t="n">
        <v>141</v>
      </c>
      <c r="H24" s="36" t="n">
        <v>0</v>
      </c>
      <c r="I24" s="36" t="n">
        <v>0</v>
      </c>
      <c r="J24" s="36" t="n">
        <v>1531</v>
      </c>
      <c r="K24" s="36" t="n">
        <v>7844</v>
      </c>
      <c r="L24" s="36" t="n">
        <v>84</v>
      </c>
      <c r="M24" s="36" t="n">
        <v>221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1969</v>
      </c>
      <c r="E25" s="36" t="n">
        <v>8112</v>
      </c>
      <c r="F25" s="36" t="n">
        <v>42</v>
      </c>
      <c r="G25" s="36" t="n">
        <v>161</v>
      </c>
      <c r="H25" s="36" t="n">
        <v>0</v>
      </c>
      <c r="I25" s="36" t="n">
        <v>0</v>
      </c>
      <c r="J25" s="36" t="n">
        <v>354</v>
      </c>
      <c r="K25" s="36" t="n">
        <v>1558</v>
      </c>
      <c r="L25" s="36" t="n">
        <v>0</v>
      </c>
      <c r="M25" s="36" t="n">
        <v>0</v>
      </c>
    </row>
    <row r="26" ht="12" customFormat="1" customHeight="1" s="22">
      <c r="A26" s="36" t="inlineStr">
        <is>
          <t>Område 6: Nordmøre og Sør-Trøndelag</t>
        </is>
      </c>
      <c r="B26" s="36" t="n">
        <v>120</v>
      </c>
      <c r="C26" s="36" t="n">
        <v>732</v>
      </c>
      <c r="D26" s="36" t="n">
        <v>4926</v>
      </c>
      <c r="E26" s="36" t="n">
        <v>20514</v>
      </c>
      <c r="F26" s="36" t="n">
        <v>0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3046</v>
      </c>
      <c r="E27" s="36" t="n">
        <v>12926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5474</v>
      </c>
      <c r="E28" s="36" t="n">
        <v>25104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78</v>
      </c>
      <c r="C29" s="36" t="n">
        <v>508</v>
      </c>
      <c r="D29" s="36" t="n">
        <v>3120</v>
      </c>
      <c r="E29" s="36" t="n">
        <v>15448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3347</v>
      </c>
      <c r="E30" s="36" t="n">
        <v>17269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3190</v>
      </c>
      <c r="E31" s="36" t="n">
        <v>15613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25</v>
      </c>
      <c r="C32" s="36" t="n">
        <v>184</v>
      </c>
      <c r="D32" s="36" t="n">
        <v>3236</v>
      </c>
      <c r="E32" s="36" t="n">
        <v>16371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419</v>
      </c>
      <c r="E33" s="36" t="n">
        <v>2737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18</v>
      </c>
      <c r="C34" s="36" t="n">
        <v>189</v>
      </c>
      <c r="D34" s="36" t="n">
        <v>328</v>
      </c>
      <c r="E34" s="36" t="n">
        <v>1464</v>
      </c>
      <c r="F34" s="36" t="n">
        <v>0</v>
      </c>
      <c r="G34" s="36" t="n">
        <v>0</v>
      </c>
      <c r="H34" s="36" t="n">
        <v>2</v>
      </c>
      <c r="I34" s="36" t="n">
        <v>21</v>
      </c>
      <c r="J34" s="36" t="n">
        <v>108</v>
      </c>
      <c r="K34" s="36" t="n">
        <v>568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389</v>
      </c>
      <c r="C35" s="37" t="n">
        <v>2310</v>
      </c>
      <c r="D35" s="37" t="n">
        <v>35578</v>
      </c>
      <c r="E35" s="37" t="n">
        <v>162952</v>
      </c>
      <c r="F35" s="37" t="n">
        <v>815</v>
      </c>
      <c r="G35" s="37" t="n">
        <v>2744</v>
      </c>
      <c r="H35" s="37" t="n">
        <v>2</v>
      </c>
      <c r="I35" s="37" t="n">
        <v>21</v>
      </c>
      <c r="J35" s="37" t="n">
        <v>2018</v>
      </c>
      <c r="K35" s="37" t="n">
        <v>10080</v>
      </c>
      <c r="L35" s="37" t="n">
        <v>176</v>
      </c>
      <c r="M35" s="37" t="n">
        <v>526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1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oktober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B35</f>
        <v/>
      </c>
      <c r="C12" s="27">
        <f>C35</f>
        <v/>
      </c>
      <c r="D12" s="27">
        <f>D35</f>
        <v/>
      </c>
      <c r="E12" s="27">
        <f>E35</f>
        <v/>
      </c>
      <c r="F12" s="27">
        <f>F35</f>
        <v/>
      </c>
      <c r="G12" s="27">
        <f>G35</f>
        <v/>
      </c>
    </row>
    <row r="13" customFormat="1" s="26">
      <c r="A13" s="26" t="inlineStr">
        <is>
          <t>Regnbueørret</t>
        </is>
      </c>
      <c r="B13" s="27">
        <f>H35</f>
        <v/>
      </c>
      <c r="C13" s="27">
        <f>I35</f>
        <v/>
      </c>
      <c r="D13" s="27">
        <f>J35</f>
        <v/>
      </c>
      <c r="E13" s="27">
        <f>K35</f>
        <v/>
      </c>
      <c r="F13" s="27">
        <f>L35</f>
        <v/>
      </c>
      <c r="G13" s="28">
        <f>M35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oktober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0</v>
      </c>
      <c r="E21" s="36" t="n">
        <v>0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1330</v>
      </c>
      <c r="E22" s="36" t="n">
        <v>7246</v>
      </c>
      <c r="F22" s="36" t="n">
        <v>0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25</v>
      </c>
      <c r="C23" s="36" t="n">
        <v>147</v>
      </c>
      <c r="D23" s="36" t="n">
        <v>1138</v>
      </c>
      <c r="E23" s="36" t="n">
        <v>4527</v>
      </c>
      <c r="F23" s="36" t="n">
        <v>1567</v>
      </c>
      <c r="G23" s="36" t="n">
        <v>5300</v>
      </c>
      <c r="H23" s="36" t="n">
        <v>0</v>
      </c>
      <c r="I23" s="36" t="n">
        <v>0</v>
      </c>
      <c r="J23" s="36" t="n">
        <v>364</v>
      </c>
      <c r="K23" s="36" t="n">
        <v>1860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59</v>
      </c>
      <c r="C24" s="36" t="n">
        <v>292</v>
      </c>
      <c r="D24" s="36" t="n">
        <v>3539</v>
      </c>
      <c r="E24" s="36" t="n">
        <v>15017</v>
      </c>
      <c r="F24" s="36" t="n">
        <v>96</v>
      </c>
      <c r="G24" s="36" t="n">
        <v>360</v>
      </c>
      <c r="H24" s="36" t="n">
        <v>0</v>
      </c>
      <c r="I24" s="36" t="n">
        <v>0</v>
      </c>
      <c r="J24" s="36" t="n">
        <v>1180</v>
      </c>
      <c r="K24" s="36" t="n">
        <v>5387</v>
      </c>
      <c r="L24" s="36" t="n">
        <v>242</v>
      </c>
      <c r="M24" s="36" t="n">
        <v>686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2126</v>
      </c>
      <c r="E25" s="36" t="n">
        <v>7472</v>
      </c>
      <c r="F25" s="36" t="n">
        <v>155</v>
      </c>
      <c r="G25" s="36" t="n">
        <v>599</v>
      </c>
      <c r="H25" s="36" t="n">
        <v>0</v>
      </c>
      <c r="I25" s="36" t="n">
        <v>0</v>
      </c>
      <c r="J25" s="36" t="n">
        <v>61</v>
      </c>
      <c r="K25" s="36" t="n">
        <v>270</v>
      </c>
      <c r="L25" s="36" t="n">
        <v>157</v>
      </c>
      <c r="M25" s="36" t="n">
        <v>628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5899</v>
      </c>
      <c r="E26" s="36" t="n">
        <v>24331</v>
      </c>
      <c r="F26" s="36" t="n">
        <v>990</v>
      </c>
      <c r="G26" s="36" t="n">
        <v>3320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4147</v>
      </c>
      <c r="E27" s="36" t="n">
        <v>17543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4227</v>
      </c>
      <c r="E28" s="36" t="n">
        <v>21189</v>
      </c>
      <c r="F28" s="36" t="n">
        <v>0</v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2654</v>
      </c>
      <c r="E29" s="36" t="n">
        <v>13847</v>
      </c>
      <c r="F29" s="36" t="n">
        <v>0</v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2962</v>
      </c>
      <c r="E30" s="36" t="n">
        <v>16190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3677</v>
      </c>
      <c r="E31" s="36" t="n">
        <v>19122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3629</v>
      </c>
      <c r="E32" s="36" t="n">
        <v>18828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Område 13: Øst-Finnmark</t>
        </is>
      </c>
      <c r="B33" s="36" t="n">
        <v>0</v>
      </c>
      <c r="C33" s="36" t="n">
        <v>0</v>
      </c>
      <c r="D33" s="36" t="n">
        <v>132</v>
      </c>
      <c r="E33" s="36" t="n">
        <v>914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6" t="inlineStr">
        <is>
          <t>Stamfisk, forskning og undervisning</t>
        </is>
      </c>
      <c r="B34" s="36" t="n">
        <v>4</v>
      </c>
      <c r="C34" s="36" t="n">
        <v>34</v>
      </c>
      <c r="D34" s="36" t="n">
        <v>307</v>
      </c>
      <c r="E34" s="36" t="n">
        <v>1818</v>
      </c>
      <c r="F34" s="36" t="n">
        <v>0</v>
      </c>
      <c r="G34" s="36" t="n">
        <v>0</v>
      </c>
      <c r="H34" s="36" t="n">
        <v>22</v>
      </c>
      <c r="I34" s="36" t="n">
        <v>165</v>
      </c>
      <c r="J34" s="36" t="n">
        <v>92</v>
      </c>
      <c r="K34" s="36" t="n">
        <v>518</v>
      </c>
      <c r="L34" s="36" t="n">
        <v>0</v>
      </c>
      <c r="M34" s="36" t="n">
        <v>0</v>
      </c>
    </row>
    <row r="35">
      <c r="A35" s="37" t="inlineStr">
        <is>
          <t>Totalt</t>
        </is>
      </c>
      <c r="B35" s="37" t="n">
        <v>87</v>
      </c>
      <c r="C35" s="37" t="n">
        <v>473</v>
      </c>
      <c r="D35" s="37" t="n">
        <v>35767</v>
      </c>
      <c r="E35" s="37" t="n">
        <v>168045</v>
      </c>
      <c r="F35" s="37" t="n">
        <v>2808</v>
      </c>
      <c r="G35" s="37" t="n">
        <v>9579</v>
      </c>
      <c r="H35" s="37" t="n">
        <v>22</v>
      </c>
      <c r="I35" s="37" t="n">
        <v>165</v>
      </c>
      <c r="J35" s="37" t="n">
        <v>1697</v>
      </c>
      <c r="K35" s="37" t="n">
        <v>8036</v>
      </c>
      <c r="L35" s="37" t="n">
        <v>398</v>
      </c>
      <c r="M35" s="37" t="n">
        <v>1315</v>
      </c>
    </row>
    <row r="36"/>
    <row r="37"/>
    <row r="38">
      <c r="A38" s="18" t="inlineStr">
        <is>
          <t>Forklaring:</t>
        </is>
      </c>
    </row>
    <row r="39">
      <c r="A39" s="22" t="inlineStr">
        <is>
          <t>Uttak = All fisk innrapportert tatt ut av merdene, eksklusiv fisk som er flyttet eller solgt levende</t>
        </is>
      </c>
    </row>
    <row r="40">
      <c r="A40" s="22" t="inlineStr">
        <is>
          <t>Rundvekt = Whole fish equivalent (WFE)</t>
        </is>
      </c>
    </row>
    <row r="41">
      <c r="A41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november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november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106</v>
      </c>
      <c r="E21" s="36" t="n">
        <v>491</v>
      </c>
      <c r="F21" s="36" t="n">
        <v>78</v>
      </c>
      <c r="G21" s="36" t="n">
        <v>166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1376</v>
      </c>
      <c r="E22" s="36" t="n">
        <v>7439</v>
      </c>
      <c r="F22" s="36" t="n">
        <v>269</v>
      </c>
      <c r="G22" s="36" t="n">
        <v>1350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74</v>
      </c>
      <c r="C23" s="36" t="n">
        <v>484</v>
      </c>
      <c r="D23" s="36" t="n">
        <v>760</v>
      </c>
      <c r="E23" s="36" t="n">
        <v>3625</v>
      </c>
      <c r="F23" s="36" t="n">
        <v>1764</v>
      </c>
      <c r="G23" s="36" t="n">
        <v>6749</v>
      </c>
      <c r="H23" s="36" t="n">
        <v>0</v>
      </c>
      <c r="I23" s="36" t="n">
        <v>0</v>
      </c>
      <c r="J23" s="36" t="n">
        <v>87</v>
      </c>
      <c r="K23" s="36" t="n">
        <v>469</v>
      </c>
      <c r="L23" s="36" t="n">
        <v>0</v>
      </c>
      <c r="M23" s="36" t="n">
        <v>0</v>
      </c>
    </row>
    <row r="24" ht="12" customFormat="1" customHeight="1" s="22">
      <c r="A24" s="36" t="inlineStr">
        <is>
          <t>Område 4: Nordhordland til Stadt</t>
        </is>
      </c>
      <c r="B24" s="36" t="n">
        <v>163</v>
      </c>
      <c r="C24" s="36" t="n">
        <v>877</v>
      </c>
      <c r="D24" s="36" t="n">
        <v>1571</v>
      </c>
      <c r="E24" s="36" t="n">
        <v>6850</v>
      </c>
      <c r="F24" s="36" t="n">
        <v>292</v>
      </c>
      <c r="G24" s="36" t="n">
        <v>957</v>
      </c>
      <c r="H24" s="36" t="n">
        <v>0</v>
      </c>
      <c r="I24" s="36" t="n">
        <v>0</v>
      </c>
      <c r="J24" s="36" t="n">
        <v>1306</v>
      </c>
      <c r="K24" s="36" t="n">
        <v>6006</v>
      </c>
      <c r="L24" s="36" t="n">
        <v>123</v>
      </c>
      <c r="M24" s="36" t="n">
        <v>398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1892</v>
      </c>
      <c r="E25" s="36" t="n">
        <v>7252</v>
      </c>
      <c r="F25" s="36" t="n">
        <v>181</v>
      </c>
      <c r="G25" s="36" t="n">
        <v>729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147</v>
      </c>
      <c r="M25" s="36" t="n">
        <v>639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3494</v>
      </c>
      <c r="E26" s="36" t="n">
        <v>16775</v>
      </c>
      <c r="F26" s="36" t="n">
        <v>1843</v>
      </c>
      <c r="G26" s="36" t="n">
        <v>5090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3264</v>
      </c>
      <c r="E27" s="36" t="n">
        <v>15991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2733</v>
      </c>
      <c r="E28" s="36" t="n">
        <v>12805</v>
      </c>
      <c r="F28" s="36" t="n">
        <v>639</v>
      </c>
      <c r="G28" s="36" t="n">
        <v>1490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2650</v>
      </c>
      <c r="E29" s="36" t="n">
        <v>14535</v>
      </c>
      <c r="F29" s="36" t="n">
        <v>215</v>
      </c>
      <c r="G29" s="36" t="n">
        <v>381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3094</v>
      </c>
      <c r="E30" s="36" t="n">
        <v>17912</v>
      </c>
      <c r="F30" s="36" t="n">
        <v>0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3508</v>
      </c>
      <c r="E31" s="36" t="n">
        <v>19270</v>
      </c>
      <c r="F31" s="36" t="n">
        <v>10</v>
      </c>
      <c r="G31" s="36" t="n">
        <v>47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2057</v>
      </c>
      <c r="E32" s="36" t="n">
        <v>10345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0</v>
      </c>
      <c r="C33" s="36" t="n">
        <v>0</v>
      </c>
      <c r="D33" s="36" t="n">
        <v>190</v>
      </c>
      <c r="E33" s="36" t="n">
        <v>1185</v>
      </c>
      <c r="F33" s="36" t="n">
        <v>82</v>
      </c>
      <c r="G33" s="36" t="n">
        <v>326</v>
      </c>
      <c r="H33" s="36" t="n">
        <v>10</v>
      </c>
      <c r="I33" s="36" t="n">
        <v>86</v>
      </c>
      <c r="J33" s="36" t="n">
        <v>11</v>
      </c>
      <c r="K33" s="36" t="n">
        <v>72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237</v>
      </c>
      <c r="C34" s="37" t="n">
        <v>1361</v>
      </c>
      <c r="D34" s="37" t="n">
        <v>26695</v>
      </c>
      <c r="E34" s="37" t="n">
        <v>134476</v>
      </c>
      <c r="F34" s="37" t="n">
        <v>5373</v>
      </c>
      <c r="G34" s="37" t="n">
        <v>17286</v>
      </c>
      <c r="H34" s="37" t="n">
        <v>10</v>
      </c>
      <c r="I34" s="37" t="n">
        <v>86</v>
      </c>
      <c r="J34" s="37" t="n">
        <v>1404</v>
      </c>
      <c r="K34" s="37" t="n">
        <v>6547</v>
      </c>
      <c r="L34" s="37" t="n">
        <v>269</v>
      </c>
      <c r="M34" s="37" t="n">
        <v>1037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.5703125" customWidth="1" style="26" min="1" max="1"/>
    <col width="11.42578125" customWidth="1" style="26" min="2" max="16384"/>
  </cols>
  <sheetData>
    <row r="1" ht="27.75" customFormat="1" customHeight="1" s="4">
      <c r="A1" s="1" t="inlineStr">
        <is>
          <t>Uttak av slaktet fisk 2025 (PRODUKSJONSOMRÅDE)</t>
        </is>
      </c>
      <c r="B1" s="2" t="n"/>
      <c r="C1" s="2" t="n"/>
      <c r="D1" s="2" t="n"/>
      <c r="E1" s="3" t="n"/>
      <c r="F1" s="3" t="n"/>
      <c r="G1" s="3" t="n"/>
      <c r="H1" s="3" t="n"/>
      <c r="I1" s="3" t="n"/>
    </row>
    <row r="2" ht="18" customFormat="1" customHeight="1" s="8">
      <c r="A2" s="5" t="inlineStr">
        <is>
          <t>Tall spesifisert på art, produksjonsområde og utsett</t>
        </is>
      </c>
      <c r="B2" s="6" t="n"/>
      <c r="C2" s="6" t="n"/>
      <c r="D2" s="6" t="n"/>
      <c r="E2" s="7" t="n"/>
      <c r="F2" s="7" t="n"/>
      <c r="G2" s="7" t="n"/>
      <c r="H2" s="7" t="n"/>
      <c r="I2" s="7" t="n"/>
    </row>
    <row r="3" customFormat="1" s="12">
      <c r="A3" s="9" t="n"/>
      <c r="B3" s="10" t="n"/>
      <c r="C3" s="10" t="n"/>
      <c r="D3" s="10" t="n"/>
      <c r="E3" s="11" t="n"/>
      <c r="F3" s="11" t="n"/>
      <c r="G3" s="11" t="n"/>
      <c r="H3" s="11" t="n"/>
      <c r="I3" s="11" t="n"/>
    </row>
    <row r="4" customFormat="1" s="12">
      <c r="A4" s="13" t="inlineStr">
        <is>
          <t>Kilde: Fiskeridirektoratet, Biomasseregisteret</t>
        </is>
      </c>
      <c r="B4" s="10" t="n"/>
      <c r="C4" s="10" t="n"/>
      <c r="D4" s="10" t="n"/>
      <c r="E4" s="11" t="n"/>
      <c r="F4" s="11" t="n"/>
      <c r="G4" s="11" t="n"/>
      <c r="H4" s="11" t="n"/>
      <c r="I4" s="11" t="n"/>
    </row>
    <row r="5">
      <c r="A5" s="13" t="inlineStr">
        <is>
          <t>Innrapporterte data pr. 20.08.2026</t>
        </is>
      </c>
      <c r="B5" s="14" t="n"/>
      <c r="C5" s="14" t="n"/>
      <c r="D5" s="14" t="n"/>
      <c r="E5" s="27" t="n"/>
      <c r="F5" s="27" t="n"/>
      <c r="G5" s="27" t="n"/>
      <c r="H5" s="27" t="n"/>
      <c r="I5" s="27" t="n"/>
    </row>
    <row r="6">
      <c r="A6" s="26" t="n"/>
    </row>
    <row r="8" ht="15.75" customFormat="1" customHeight="1" s="25">
      <c r="A8" s="18" t="inlineStr">
        <is>
          <t>Innrapportert TOTALT uttak av fisk pr. desember 2025. Antall i 1000 stk, og mengde i tonn rundvekt.</t>
        </is>
      </c>
    </row>
    <row r="9" ht="15.75" customFormat="1" customHeight="1" s="32">
      <c r="A9" s="31" t="n"/>
      <c r="B9" s="34" t="inlineStr">
        <is>
          <t>Totalt</t>
        </is>
      </c>
    </row>
    <row r="10" customFormat="1" s="26">
      <c r="B10" s="33" t="inlineStr">
        <is>
          <t>Tidligere utsett</t>
        </is>
      </c>
      <c r="D10" s="33" t="inlineStr">
        <is>
          <t>Fjorårets utsett</t>
        </is>
      </c>
      <c r="F10" s="33" t="inlineStr">
        <is>
          <t>Årets utsett</t>
        </is>
      </c>
    </row>
    <row r="11" customFormat="1" s="25">
      <c r="A11" s="23" t="inlineStr">
        <is>
          <t>Art</t>
        </is>
      </c>
      <c r="B11" s="24" t="inlineStr">
        <is>
          <t>Antall</t>
        </is>
      </c>
      <c r="C11" s="24" t="inlineStr">
        <is>
          <t>Mengde</t>
        </is>
      </c>
      <c r="D11" s="24" t="inlineStr">
        <is>
          <t>Antall</t>
        </is>
      </c>
      <c r="E11" s="24" t="inlineStr">
        <is>
          <t>Mengde</t>
        </is>
      </c>
      <c r="F11" s="24" t="inlineStr">
        <is>
          <t>Antall</t>
        </is>
      </c>
      <c r="G11" s="24" t="inlineStr">
        <is>
          <t>Mengde</t>
        </is>
      </c>
    </row>
    <row r="12" customFormat="1" s="26">
      <c r="A12" s="26" t="inlineStr">
        <is>
          <t>Laks</t>
        </is>
      </c>
      <c r="B12" s="27">
        <f>B34</f>
        <v/>
      </c>
      <c r="C12" s="27">
        <f>C34</f>
        <v/>
      </c>
      <c r="D12" s="27">
        <f>D34</f>
        <v/>
      </c>
      <c r="E12" s="27">
        <f>E34</f>
        <v/>
      </c>
      <c r="F12" s="27">
        <f>F34</f>
        <v/>
      </c>
      <c r="G12" s="27">
        <f>G34</f>
        <v/>
      </c>
    </row>
    <row r="13" customFormat="1" s="26">
      <c r="A13" s="26" t="inlineStr">
        <is>
          <t>Regnbueørret</t>
        </is>
      </c>
      <c r="B13" s="27">
        <f>H34</f>
        <v/>
      </c>
      <c r="C13" s="27">
        <f>I34</f>
        <v/>
      </c>
      <c r="D13" s="27">
        <f>J34</f>
        <v/>
      </c>
      <c r="E13" s="27">
        <f>K34</f>
        <v/>
      </c>
      <c r="F13" s="27">
        <f>L34</f>
        <v/>
      </c>
      <c r="G13" s="28">
        <f>M34</f>
        <v/>
      </c>
    </row>
    <row r="14" customFormat="1" s="25">
      <c r="A14" s="23" t="inlineStr">
        <is>
          <t>Totalt</t>
        </is>
      </c>
      <c r="B14" s="29">
        <f>SUM(B12:B13)</f>
        <v/>
      </c>
      <c r="C14" s="29">
        <f>SUM(C12:C13)</f>
        <v/>
      </c>
      <c r="D14" s="29">
        <f>SUM(D12:D13)</f>
        <v/>
      </c>
      <c r="E14" s="29">
        <f>SUM(E12:E13)</f>
        <v/>
      </c>
      <c r="F14" s="29">
        <f>SUM(F12:F13)</f>
        <v/>
      </c>
      <c r="G14" s="29">
        <f>SUM(G12:G13)</f>
        <v/>
      </c>
    </row>
    <row r="17" ht="15.75" customFormat="1" customHeight="1" s="25">
      <c r="A17" s="18" t="inlineStr">
        <is>
          <t>Innrapportert uttak av slaktet laks og regnbueørret pr. desember 2025. Antall i 1000 stk, og mengde i tonn rundvekt.</t>
        </is>
      </c>
    </row>
    <row r="18" ht="15.75" customFormat="1" customHeight="1" s="25">
      <c r="A18" s="30" t="n"/>
      <c r="B18" s="35" t="inlineStr">
        <is>
          <t>Laks</t>
        </is>
      </c>
      <c r="H18" s="35" t="inlineStr">
        <is>
          <t>Regnbueørret</t>
        </is>
      </c>
    </row>
    <row r="19" customFormat="1" s="26">
      <c r="B19" s="33" t="inlineStr">
        <is>
          <t>Tidligere utsett</t>
        </is>
      </c>
      <c r="D19" s="33" t="inlineStr">
        <is>
          <t>Fjorårets utsett</t>
        </is>
      </c>
      <c r="F19" s="33" t="inlineStr">
        <is>
          <t>Årets utsett</t>
        </is>
      </c>
      <c r="H19" s="33" t="inlineStr">
        <is>
          <t>Tidligere utsett</t>
        </is>
      </c>
      <c r="J19" s="33" t="inlineStr">
        <is>
          <t>Fjorårets utsett</t>
        </is>
      </c>
      <c r="L19" s="33" t="inlineStr">
        <is>
          <t>Årets utsett</t>
        </is>
      </c>
    </row>
    <row r="20" customFormat="1" s="25">
      <c r="A20" s="23" t="inlineStr">
        <is>
          <t>Produksjonsområde:</t>
        </is>
      </c>
      <c r="B20" s="24" t="inlineStr">
        <is>
          <t>Antall</t>
        </is>
      </c>
      <c r="C20" s="24" t="inlineStr">
        <is>
          <t>Mengde</t>
        </is>
      </c>
      <c r="D20" s="24" t="inlineStr">
        <is>
          <t>Antall</t>
        </is>
      </c>
      <c r="E20" s="24" t="inlineStr">
        <is>
          <t>Mengde</t>
        </is>
      </c>
      <c r="F20" s="24" t="inlineStr">
        <is>
          <t>Antall</t>
        </is>
      </c>
      <c r="G20" s="24" t="inlineStr">
        <is>
          <t>Mengde</t>
        </is>
      </c>
      <c r="H20" s="24" t="inlineStr">
        <is>
          <t>Antall</t>
        </is>
      </c>
      <c r="I20" s="24" t="inlineStr">
        <is>
          <t>Mengde</t>
        </is>
      </c>
      <c r="J20" s="24" t="inlineStr">
        <is>
          <t>Antall</t>
        </is>
      </c>
      <c r="K20" s="24" t="inlineStr">
        <is>
          <t>Mengde</t>
        </is>
      </c>
      <c r="L20" s="24" t="inlineStr">
        <is>
          <t>Antall</t>
        </is>
      </c>
      <c r="M20" s="24" t="inlineStr">
        <is>
          <t>Mengde</t>
        </is>
      </c>
    </row>
    <row r="21">
      <c r="A21" s="36" t="inlineStr">
        <is>
          <t>Område 1: Svenskegrensen til Jæren</t>
        </is>
      </c>
      <c r="B21" s="36" t="n">
        <v>0</v>
      </c>
      <c r="C21" s="36" t="n">
        <v>0</v>
      </c>
      <c r="D21" s="36" t="n">
        <v>108</v>
      </c>
      <c r="E21" s="36" t="n">
        <v>525</v>
      </c>
      <c r="F21" s="36" t="n">
        <v>113</v>
      </c>
      <c r="G21" s="36" t="n">
        <v>340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6" t="n">
        <v>0</v>
      </c>
    </row>
    <row r="22">
      <c r="A22" s="36" t="inlineStr">
        <is>
          <t>Område 2: Ryfylke</t>
        </is>
      </c>
      <c r="B22" s="36" t="n">
        <v>0</v>
      </c>
      <c r="C22" s="36" t="n">
        <v>0</v>
      </c>
      <c r="D22" s="36" t="n">
        <v>1374</v>
      </c>
      <c r="E22" s="36" t="n">
        <v>8250</v>
      </c>
      <c r="F22" s="36" t="n">
        <v>497</v>
      </c>
      <c r="G22" s="36" t="n">
        <v>2599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</row>
    <row r="23" ht="15.75" customFormat="1" customHeight="1" s="20">
      <c r="A23" s="36" t="inlineStr">
        <is>
          <t>Område 3: Karmøy til Sotra</t>
        </is>
      </c>
      <c r="B23" s="36" t="n">
        <v>86</v>
      </c>
      <c r="C23" s="36" t="n">
        <v>534</v>
      </c>
      <c r="D23" s="36" t="n">
        <v>1463</v>
      </c>
      <c r="E23" s="36" t="n">
        <v>7875</v>
      </c>
      <c r="F23" s="36" t="n">
        <v>1064</v>
      </c>
      <c r="G23" s="36" t="n">
        <v>4829</v>
      </c>
      <c r="H23" s="36" t="n">
        <v>0</v>
      </c>
      <c r="I23" s="36" t="n">
        <v>0</v>
      </c>
      <c r="J23" s="36" t="n">
        <v>204</v>
      </c>
      <c r="K23" s="36" t="n">
        <v>1026</v>
      </c>
      <c r="L23" s="36" t="n">
        <v>78</v>
      </c>
      <c r="M23" s="36" t="n">
        <v>366</v>
      </c>
    </row>
    <row r="24" ht="12" customFormat="1" customHeight="1" s="22">
      <c r="A24" s="36" t="inlineStr">
        <is>
          <t>Område 4: Nordhordland til Stadt</t>
        </is>
      </c>
      <c r="B24" s="36" t="n">
        <v>0</v>
      </c>
      <c r="C24" s="36" t="n">
        <v>0</v>
      </c>
      <c r="D24" s="36" t="n">
        <v>1074</v>
      </c>
      <c r="E24" s="36" t="n">
        <v>5358</v>
      </c>
      <c r="F24" s="36" t="n">
        <v>2725</v>
      </c>
      <c r="G24" s="36" t="n">
        <v>8327</v>
      </c>
      <c r="H24" s="36" t="n">
        <v>0</v>
      </c>
      <c r="I24" s="36" t="n">
        <v>0</v>
      </c>
      <c r="J24" s="36" t="n">
        <v>998</v>
      </c>
      <c r="K24" s="36" t="n">
        <v>4527</v>
      </c>
      <c r="L24" s="36" t="n">
        <v>264</v>
      </c>
      <c r="M24" s="36" t="n">
        <v>1004</v>
      </c>
    </row>
    <row r="25" ht="12" customFormat="1" customHeight="1" s="22">
      <c r="A25" s="36" t="inlineStr">
        <is>
          <t>Område 5: Stadt til Hustadvika</t>
        </is>
      </c>
      <c r="B25" s="36" t="n">
        <v>0</v>
      </c>
      <c r="C25" s="36" t="n">
        <v>0</v>
      </c>
      <c r="D25" s="36" t="n">
        <v>588</v>
      </c>
      <c r="E25" s="36" t="n">
        <v>3114</v>
      </c>
      <c r="F25" s="36" t="n">
        <v>145</v>
      </c>
      <c r="G25" s="36" t="n">
        <v>696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138</v>
      </c>
      <c r="M25" s="36" t="n">
        <v>614</v>
      </c>
    </row>
    <row r="26" ht="12" customFormat="1" customHeight="1" s="22">
      <c r="A26" s="36" t="inlineStr">
        <is>
          <t>Område 6: Nordmøre og Sør-Trøndelag</t>
        </is>
      </c>
      <c r="B26" s="36" t="n">
        <v>0</v>
      </c>
      <c r="C26" s="36" t="n">
        <v>0</v>
      </c>
      <c r="D26" s="36" t="n">
        <v>3318</v>
      </c>
      <c r="E26" s="36" t="n">
        <v>17507</v>
      </c>
      <c r="F26" s="36" t="n">
        <v>1417</v>
      </c>
      <c r="G26" s="36" t="n">
        <v>4364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</row>
    <row r="27">
      <c r="A27" s="36" t="inlineStr">
        <is>
          <t>Område 7: Nord-Trøndelag med Bindal</t>
        </is>
      </c>
      <c r="B27" s="36" t="n">
        <v>0</v>
      </c>
      <c r="C27" s="36" t="n">
        <v>0</v>
      </c>
      <c r="D27" s="36" t="n">
        <v>2195</v>
      </c>
      <c r="E27" s="36" t="n">
        <v>11096</v>
      </c>
      <c r="F27" s="36" t="n">
        <v>185</v>
      </c>
      <c r="G27" s="36" t="n">
        <v>895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  <c r="M27" s="36" t="n">
        <v>0</v>
      </c>
    </row>
    <row r="28">
      <c r="A28" s="36" t="inlineStr">
        <is>
          <t>Område 8: Helgeland til Bodø</t>
        </is>
      </c>
      <c r="B28" s="36" t="n">
        <v>0</v>
      </c>
      <c r="C28" s="36" t="n">
        <v>0</v>
      </c>
      <c r="D28" s="36" t="n">
        <v>2460</v>
      </c>
      <c r="E28" s="36" t="n">
        <v>12449</v>
      </c>
      <c r="F28" s="36" t="n">
        <v>73</v>
      </c>
      <c r="G28" s="36" t="n">
        <v>300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  <c r="M28" s="36" t="n">
        <v>0</v>
      </c>
    </row>
    <row r="29">
      <c r="A29" s="36" t="inlineStr">
        <is>
          <t>Område 9: Vestfjorden og Vesterålen</t>
        </is>
      </c>
      <c r="B29" s="36" t="n">
        <v>0</v>
      </c>
      <c r="C29" s="36" t="n">
        <v>0</v>
      </c>
      <c r="D29" s="36" t="n">
        <v>2304</v>
      </c>
      <c r="E29" s="36" t="n">
        <v>12415</v>
      </c>
      <c r="F29" s="36" t="n">
        <v>298</v>
      </c>
      <c r="G29" s="36" t="n">
        <v>724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  <c r="M29" s="36" t="n">
        <v>0</v>
      </c>
    </row>
    <row r="30">
      <c r="A30" s="36" t="inlineStr">
        <is>
          <t>Område 10: Andøya til Senja</t>
        </is>
      </c>
      <c r="B30" s="36" t="n">
        <v>0</v>
      </c>
      <c r="C30" s="36" t="n">
        <v>0</v>
      </c>
      <c r="D30" s="36" t="n">
        <v>2767</v>
      </c>
      <c r="E30" s="36" t="n">
        <v>15704</v>
      </c>
      <c r="F30" s="36" t="n">
        <v>45</v>
      </c>
      <c r="G30" s="36" t="n">
        <v>82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</row>
    <row r="31">
      <c r="A31" s="36" t="inlineStr">
        <is>
          <t>Område 11: Kvaløy til Loppa</t>
        </is>
      </c>
      <c r="B31" s="36" t="n">
        <v>0</v>
      </c>
      <c r="C31" s="36" t="n">
        <v>0</v>
      </c>
      <c r="D31" s="36" t="n">
        <v>1497</v>
      </c>
      <c r="E31" s="36" t="n">
        <v>8732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</row>
    <row r="32">
      <c r="A32" s="36" t="inlineStr">
        <is>
          <t>Område 12: Vest-Finnmark</t>
        </is>
      </c>
      <c r="B32" s="36" t="n">
        <v>0</v>
      </c>
      <c r="C32" s="36" t="n">
        <v>0</v>
      </c>
      <c r="D32" s="36" t="n">
        <v>1471</v>
      </c>
      <c r="E32" s="36" t="n">
        <v>8372</v>
      </c>
      <c r="F32" s="36" t="n">
        <v>0</v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  <c r="M32" s="36" t="n">
        <v>0</v>
      </c>
    </row>
    <row r="33">
      <c r="A33" s="36" t="inlineStr">
        <is>
          <t>Stamfisk, forskning og undervisning</t>
        </is>
      </c>
      <c r="B33" s="36" t="n">
        <v>0</v>
      </c>
      <c r="C33" s="36" t="n">
        <v>0</v>
      </c>
      <c r="D33" s="36" t="n">
        <v>120</v>
      </c>
      <c r="E33" s="36" t="n">
        <v>636</v>
      </c>
      <c r="F33" s="36" t="n">
        <v>204</v>
      </c>
      <c r="G33" s="36" t="n">
        <v>931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6" t="n">
        <v>0</v>
      </c>
    </row>
    <row r="34">
      <c r="A34" s="37" t="inlineStr">
        <is>
          <t>Totalt</t>
        </is>
      </c>
      <c r="B34" s="37" t="n">
        <v>86</v>
      </c>
      <c r="C34" s="37" t="n">
        <v>534</v>
      </c>
      <c r="D34" s="37" t="n">
        <v>20737</v>
      </c>
      <c r="E34" s="37" t="n">
        <v>112033</v>
      </c>
      <c r="F34" s="37" t="n">
        <v>6765</v>
      </c>
      <c r="G34" s="37" t="n">
        <v>24087</v>
      </c>
      <c r="H34" s="37" t="n">
        <v>0</v>
      </c>
      <c r="I34" s="37" t="n">
        <v>0</v>
      </c>
      <c r="J34" s="37" t="n">
        <v>1202</v>
      </c>
      <c r="K34" s="37" t="n">
        <v>5553</v>
      </c>
      <c r="L34" s="37" t="n">
        <v>481</v>
      </c>
      <c r="M34" s="37" t="n">
        <v>1984</v>
      </c>
    </row>
    <row r="35"/>
    <row r="36"/>
    <row r="37">
      <c r="A37" s="18" t="inlineStr">
        <is>
          <t>Forklaring:</t>
        </is>
      </c>
    </row>
    <row r="38">
      <c r="A38" s="22" t="inlineStr">
        <is>
          <t>Uttak = All fisk innrapportert tatt ut av merdene, eksklusiv fisk som er flyttet eller solgt levende</t>
        </is>
      </c>
    </row>
    <row r="39">
      <c r="A39" s="22" t="inlineStr">
        <is>
          <t>Rundvekt = Whole fish equivalent (WFE)</t>
        </is>
      </c>
    </row>
    <row r="40">
      <c r="A40" s="22" t="inlineStr">
        <is>
          <t xml:space="preserve">Omregningsfaktor = Vi har benyttet omregningsfaktor fra NS 9417:2012. </t>
        </is>
      </c>
    </row>
  </sheetData>
  <mergeCells count="12">
    <mergeCell ref="D10:E10"/>
    <mergeCell ref="F10:G10"/>
    <mergeCell ref="D19:E19"/>
    <mergeCell ref="B19:C19"/>
    <mergeCell ref="H18:M18"/>
    <mergeCell ref="F19:G19"/>
    <mergeCell ref="B10:C10"/>
    <mergeCell ref="B9:G9"/>
    <mergeCell ref="J19:K19"/>
    <mergeCell ref="H19:I19"/>
    <mergeCell ref="L19:M19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2022-02-17T07:55:34Z</dcterms:created>
  <dcterms:modified xmlns:dcterms="http://purl.org/dc/terms/" xmlns:xsi="http://www.w3.org/2001/XMLSchema-instance" xsi:type="dcterms:W3CDTF">2026-08-20T04:32:53Z</dcterms:modified>
  <cp:lastModifiedBy>Stein Olav Kolle</cp:lastModifiedBy>
</cp:coreProperties>
</file>